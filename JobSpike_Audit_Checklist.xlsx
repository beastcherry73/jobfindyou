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ecklist" sheetId="1" state="visible" r:id="rId3"/>
    <sheet name="Before vs After" sheetId="2" state="visible" r:id="rId4"/>
    <sheet name="ResuMax Gaps" sheetId="3" state="visible" r:id="rId5"/>
    <sheet name="AI Model Benchmark" sheetId="4" state="visible" r:id="rId6"/>
    <sheet name="Open Items" sheetId="5" state="visible" r:id="rId7"/>
    <sheet name="Tests" sheetId="6" state="visible" r:id="rId8"/>
  </sheets>
  <definedNames>
    <definedName function="false" hidden="true" localSheetId="0" name="_xlnm._FilterDatabase" vbProcedure="false">Checklist!$A$1:$I$58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<sst xmlns="http://schemas.openxmlformats.org/spreadsheetml/2006/main" count="973" uniqueCount="656">
  <si>
    <t xml:space="preserve">#</t>
  </si>
  <si>
    <t xml:space="preserve">Source</t>
  </si>
  <si>
    <t xml:space="preserve">Item reported</t>
  </si>
  <si>
    <t xml:space="preserve">Severity</t>
  </si>
  <si>
    <t xml:space="preserve">What was actually wrong (measured)</t>
  </si>
  <si>
    <t xml:space="preserve">How it was fixed</t>
  </si>
  <si>
    <t xml:space="preserve">Status</t>
  </si>
  <si>
    <t xml:space="preserve">Commit</t>
  </si>
  <si>
    <t xml:space="preserve">Verified by</t>
  </si>
  <si>
    <t xml:space="preserve">Your report</t>
  </si>
  <si>
    <t xml:space="preserve">Previous analysis on dashboard comes late</t>
  </si>
  <si>
    <t xml:space="preserve">High</t>
  </si>
  <si>
    <t xml:space="preserve">Two serial API calls before anything rendered, each crossing the Pacific (functions in US, database in Singapore).</t>
  </si>
  <si>
    <t xml:space="preserve">Analyses list embedded in the page at render time; dashboard now needs 0 requests for first paint.</t>
  </si>
  <si>
    <t xml:space="preserve">Fixed &amp; live</t>
  </si>
  <si>
    <t xml:space="preserve">9513732</t>
  </si>
  <si>
    <t xml:space="preserve">Browser: dashboard paints with data, 0 XHR</t>
  </si>
  <si>
    <t xml:space="preserve">Previous analyses take time to load</t>
  </si>
  <si>
    <t xml:space="preserve">The query itself is ~3ms. Cost was region latency plus a blank 'Loading...' on every visit.</t>
  </si>
  <si>
    <t xml:space="preserve">Cached rows paint instantly, then revalidate in the background.</t>
  </si>
  <si>
    <t xml:space="preserve">Browser: instant repaint on revisit</t>
  </si>
  <si>
    <t xml:space="preserve">Versions load slow</t>
  </si>
  <si>
    <t xml:space="preserve">/api/resumes ran SELECT * over every analysis (shipping each full report) just to find unmapped ones.</t>
  </si>
  <si>
    <t xml:space="preserve">Narrow id scan first; full JSON fetched only for genuinely unmapped rows. Cached table render.</t>
  </si>
  <si>
    <t xml:space="preserve">Code path + browser revisit</t>
  </si>
  <si>
    <t xml:space="preserve">Pipeline loads slow</t>
  </si>
  <si>
    <t xml:space="preserve">Query was trivial; the latency was the US/Singapore round trip.</t>
  </si>
  <si>
    <t xml:space="preserve">Region moved to Singapore; rows cached and repainted, then refreshed.</t>
  </si>
  <si>
    <t xml:space="preserve">fea326c</t>
  </si>
  <si>
    <t xml:space="preserve">0.17s DB round trip (was 3.33s)</t>
  </si>
  <si>
    <t xml:space="preserve">Getting old job postings</t>
  </si>
  <si>
    <t xml:space="preserve">Critical</t>
  </si>
  <si>
    <t xml:space="preserve">Job board had not synced since 27 Aug: 0 roles posted in the last 7 days. Oldest listing was from 2012.</t>
  </si>
  <si>
    <t xml:space="preserve">Sync no longer depends on CRON_SECRET; throttled + 6 cron slots. Crons now cycle on their own.</t>
  </si>
  <si>
    <t xml:space="preserve">8,861 roles posted in last 7 days</t>
  </si>
  <si>
    <t xml:space="preserve">Very limited jobs for a location</t>
  </si>
  <si>
    <t xml:space="preserve">India held 1,402 roles, almost none fresh. Country filter also mis-filed Indian cities.</t>
  </si>
  <si>
    <t xml:space="preserve">Workday tier added (+9,066 roles); country resolver fixed for Indian states.</t>
  </si>
  <si>
    <t xml:space="preserve">fea326c, 2110060</t>
  </si>
  <si>
    <t xml:space="preserve">India: 3,383 roles, 704 within 3 days</t>
  </si>
  <si>
    <t xml:space="preserve">Need at least 5k jobs coming up</t>
  </si>
  <si>
    <t xml:space="preserve">Board held 17,806 but only 6,916 within 30 days and 0 fresh.</t>
  </si>
  <si>
    <t xml:space="preserve">26,898 roles now; 15,706 within 30 days; 5,926 within 3 days.</t>
  </si>
  <si>
    <t xml:space="preserve">SQL over production corpus</t>
  </si>
  <si>
    <t xml:space="preserve">Jobs must appear without searching</t>
  </si>
  <si>
    <t xml:space="preserve">Medium</t>
  </si>
  <si>
    <t xml:space="preserve">Browse opened on an empty box until Sep 8; then results were date-sorted only.</t>
  </si>
  <si>
    <t xml:space="preserve">Opens on results, freshness-first, employers interleaved so one board cannot fill page 1.</t>
  </si>
  <si>
    <t xml:space="preserve">e313315, fea326c</t>
  </si>
  <si>
    <t xml:space="preserve">Browser: 2,477 India roles on open</t>
  </si>
  <si>
    <t xml:space="preserve">Not as good as ResuMax</t>
  </si>
  <si>
    <t xml:space="preserve">They advertise 12,842 roles from 11 source families; we had more roles but stale, and lacked 3 features.</t>
  </si>
  <si>
    <t xml:space="preserve">Board now 2x theirs and employer-direct; cover letters, interview prep and match evidence shipped.</t>
  </si>
  <si>
    <t xml:space="preserve">1c47e16</t>
  </si>
  <si>
    <t xml:space="preserve">See ResuMax Gaps sheet</t>
  </si>
  <si>
    <t xml:space="preserve">Analysis takes time</t>
  </si>
  <si>
    <t xml:space="preserve">Routed to groq/compound-mini: 11.3s AND it returned an empty analysis (no score, no dimensions).</t>
  </si>
  <si>
    <t xml:space="preserve">Routing ranks by measured quality; hollow models barred from the analysis; match call runs in parallel.</t>
  </si>
  <si>
    <t xml:space="preserve">ec7ab74</t>
  </si>
  <si>
    <t xml:space="preserve">Real /api/analyze: 2.4s and 2.7s</t>
  </si>
  <si>
    <t xml:space="preserve">Doubt NVIDIA NIM's strength</t>
  </si>
  <si>
    <t xml:space="preserve">Correct doubt, wrong culprit: NIM was already excluded from analysis in August (58.4s measured).</t>
  </si>
  <si>
    <t xml:space="preserve">Kept as a small-call fallback only. All 9 JSON models benchmarked on the real prompt.</t>
  </si>
  <si>
    <t xml:space="preserve">See AI Model Benchmark sheet</t>
  </si>
  <si>
    <t xml:space="preserve">Use other free models (OpenRouter etc.)</t>
  </si>
  <si>
    <t xml:space="preserve">OpenRouter and Cerebras both now require a payment method for usable quota.</t>
  </si>
  <si>
    <t xml:space="preserve">Rejected on the card-free rule; capacity comes from spreading across Groq + Gemini pools instead.</t>
  </si>
  <si>
    <t xml:space="preserve">Not applicable</t>
  </si>
  <si>
    <t xml:space="preserve">-</t>
  </si>
  <si>
    <t xml:space="preserve">Provider policy checked</t>
  </si>
  <si>
    <t xml:space="preserve">Need fallback when models overloaded</t>
  </si>
  <si>
    <t xml:space="preserve">Fallback existed for HTTP errors but not for quality failures (valid JSON with no content).</t>
  </si>
  <si>
    <t xml:space="preserve">Quality gate rejects hollow output and retries on a DIFFERENT model; per-thread exclusion.</t>
  </si>
  <si>
    <t xml:space="preserve">88/88 suite + real analyses</t>
  </si>
  <si>
    <t xml:space="preserve">Tracking feature must be more intact</t>
  </si>
  <si>
    <t xml:space="preserve">No filtering, no editing, no stage counts, delete without confirmation, 'Viewed' label unclear.</t>
  </si>
  <si>
    <t xml:space="preserve">Stage strip with live counts doubling as filter, search, inline edit, confirm before remove, follow-up flag at 7 days.</t>
  </si>
  <si>
    <t xml:space="preserve">Browser + tracker PATCH tests</t>
  </si>
  <si>
    <t xml:space="preserve">Templates: resume below options, instant switch</t>
  </si>
  <si>
    <t xml:space="preserve">Preview sat below ten 220px cards (off-screen) and stayed blank unless Build was filled in.</t>
  </si>
  <si>
    <t xml:space="preserve">Compact picker with preview directly beneath; falls back to your saved resume, else a labelled sample.</t>
  </si>
  <si>
    <t xml:space="preserve">Browser: preview shows saved resume</t>
  </si>
  <si>
    <t xml:space="preserve">Need more templates</t>
  </si>
  <si>
    <t xml:space="preserve">8 templates differing only in colour and font.</t>
  </si>
  <si>
    <t xml:space="preserve">10 templates; two new ones change section ORDER (Campus &amp; Fresher, Career Change), honoured by PDF and DOCX.</t>
  </si>
  <si>
    <t xml:space="preserve">Export tests assert section order</t>
  </si>
  <si>
    <t xml:space="preserve">Goals: achieve them with AI</t>
  </si>
  <si>
    <t xml:space="preserve">4 hardcoded goals with invented gains ('+12 ATS') that nothing measured.</t>
  </si>
  <si>
    <t xml:space="preserve">Goals derived from your analysis + pipeline; 'Work on it with AI' drafts the real rewrite/email.</t>
  </si>
  <si>
    <t xml:space="preserve">Browser: live AI run with placeholders</t>
  </si>
  <si>
    <t xml:space="preserve">Sidebar needs organising</t>
  </si>
  <si>
    <t xml:space="preserve">Five headed sections, three holding one link, one reading 'Improve Resume &gt; Improve Resume'.</t>
  </si>
  <si>
    <t xml:space="preserve">Two groups: Career Workspace first, then Resume. Account items moved to the avatar menu.</t>
  </si>
  <si>
    <t xml:space="preserve">Browser at 1440px and 375px</t>
  </si>
  <si>
    <t xml:space="preserve">Career Workspace is in the shadows</t>
  </si>
  <si>
    <t xml:space="preserve">It sat below everything else and held only Insights/Goals/Progress.</t>
  </si>
  <si>
    <t xml:space="preserve">Now the first group, holding Browse jobs, For You, Pipeline, Goals, Interview prep, Insights, Progress.</t>
  </si>
  <si>
    <t xml:space="preserve">9513732, 1c47e16</t>
  </si>
  <si>
    <t xml:space="preserve">Browser screenshot</t>
  </si>
  <si>
    <t xml:space="preserve">UI needs updating / spacing to the right</t>
  </si>
  <si>
    <t xml:space="preserve">Not reproduced at 1440x900: workspace fills its width; job search and dashboard grids stretch correctly.</t>
  </si>
  <si>
    <t xml:space="preserve">Content capped at 1400px and centred above 1500px, with 40px side padding. Below 1500px nothing changes.</t>
  </si>
  <si>
    <t xml:space="preserve">Fixed - pending push</t>
  </si>
  <si>
    <t xml:space="preserve">f782332</t>
  </si>
  <si>
    <t xml:space="preserve">Screenshots at 1280 / 1440 / 1920; first two identical to before</t>
  </si>
  <si>
    <t xml:space="preserve">Deep UX audit by Claude</t>
  </si>
  <si>
    <t xml:space="preserve">Delivered as a published report, separate from your list.</t>
  </si>
  <si>
    <t xml:space="preserve">31 findings with evidence, severity, and fix per item.</t>
  </si>
  <si>
    <t xml:space="preserve">Published audit report</t>
  </si>
  <si>
    <t xml:space="preserve">Marketing strategy researched</t>
  </si>
  <si>
    <t xml:space="preserve">Channel strategy delivered inside the audit; the spoon-fed version needs live verification.</t>
  </si>
  <si>
    <t xml:space="preserve">marketing/PLAN.md: positioning, channels ranked, a weekly order of work, and the four numbers to track. Reddit is unreachable from every tool here, so subreddit rules are listed as 'read them yourself before posting' rather than invented.</t>
  </si>
  <si>
    <t xml:space="preserve">Delivered - with one gap named</t>
  </si>
  <si>
    <t xml:space="preserve">Baseline measured: 57 visitors / 107 pageviews in 30 days, 16 users</t>
  </si>
  <si>
    <t xml:space="preserve">Cold mailing and calling</t>
  </si>
  <si>
    <t xml:space="preserve">Recommended targets: placement officers and bootcamp operators, not candidates.</t>
  </si>
  <si>
    <t xml:space="preserve">marketing/cold-email.md (3 sequences + honest answers to the replies you will get) and marketing/call-script.md. Both say you are a student, carry no invented statistics, and no email has been sent.</t>
  </si>
  <si>
    <t xml:space="preserve">Delivered - drafts only, nothing sent</t>
  </si>
  <si>
    <t xml:space="preserve">Written against the pinned rule: never imply he is a professional</t>
  </si>
  <si>
    <t xml:space="preserve">My audit</t>
  </si>
  <si>
    <t xml:space="preserve">2,229 dead listings served to users</t>
  </si>
  <si>
    <t xml:space="preserve">Employers had taken them down; apply links led to closed jobs. A fresh pass pruned them.</t>
  </si>
  <si>
    <t xml:space="preserve">Working sync prunes per company on every cycle.</t>
  </si>
  <si>
    <t xml:space="preserve">Production prune count = 2,229</t>
  </si>
  <si>
    <t xml:space="preserve">prune_stale would empty the board</t>
  </si>
  <si>
    <t xml:space="preserve">Anything unseen for 21 days is deleted; corpus frozen 27 Aug meant self-deletion from ~17 Sep.</t>
  </si>
  <si>
    <t xml:space="preserve">Sync restored before the deadline; freshness now visible in /api/health.</t>
  </si>
  <si>
    <t xml:space="preserve">jobs_freshness in health endpoint</t>
  </si>
  <si>
    <t xml:space="preserve">Functions in US, database in Singapore</t>
  </si>
  <si>
    <t xml:space="preserve">x-vercel-id showed iad1; one DB health check took 3.33s. Every query crossed the Pacific.</t>
  </si>
  <si>
    <t xml:space="preserve">vercel.json regions: sin1, beside the Supabase pooler.</t>
  </si>
  <si>
    <t xml:space="preserve">0.161s measured, header shows sin1</t>
  </si>
  <si>
    <t xml:space="preserve">Hollow AI reports padded with a fake score</t>
  </si>
  <si>
    <t xml:space="preserve">Empty model output was filled by the normalizer with a DEFAULT SCORE OF 75 and canned verdict text.</t>
  </si>
  <si>
    <t xml:space="preserve">Substantive-output gate; hollow responses rejected and retried elsewhere.</t>
  </si>
  <si>
    <t xml:space="preserve">Quality gate tests in 88/88 suite</t>
  </si>
  <si>
    <t xml:space="preserve">Insights page entirely invented</t>
  </si>
  <si>
    <t xml:space="preserve">'FAANG Alignment' = score, 'Startup Fit' = score+8, 'Target Industry' = one of four labels by score % 4.</t>
  </si>
  <si>
    <t xml:space="preserve">Shows the six real dimension scores and the genuine target-role match, or an honest empty state.</t>
  </si>
  <si>
    <t xml:space="preserve">97aff1a</t>
  </si>
  <si>
    <t xml:space="preserve">Code removed; browser check</t>
  </si>
  <si>
    <t xml:space="preserve">Progress funnel invented</t>
  </si>
  <si>
    <t xml:space="preserve">'Callback chance', 'Interview ratio', 'Offer success' were 85%/65%/35% of the resume score.</t>
  </si>
  <si>
    <t xml:space="preserve">Counts your real pipeline; rates appear only past 5 applications.</t>
  </si>
  <si>
    <t xml:space="preserve">Dashboard invented a fallback metric</t>
  </si>
  <si>
    <t xml:space="preserve">On fetch failure it printed a canned tip plus 'Estimated ATS +4'.</t>
  </si>
  <si>
    <t xml:space="preserve">Shows a real prompt to open the report, and an em dash where there is no number.</t>
  </si>
  <si>
    <t xml:space="preserve">Suite + code review</t>
  </si>
  <si>
    <t xml:space="preserve">Landing page claimed users you don't have</t>
  </si>
  <si>
    <t xml:space="preserve">'Trusted by candidates at Stripe / Linear / Anthropic / OpenAI...' against 16 registered accounts.</t>
  </si>
  <si>
    <t xml:space="preserve">Same row now reads 'Live roles from the career sites of' - true, since those employers are in the registry.</t>
  </si>
  <si>
    <t xml:space="preserve">Live page string check</t>
  </si>
  <si>
    <t xml:space="preserve">Paid tiers sold features that don't exist</t>
  </si>
  <si>
    <t xml:space="preserve">$19 and $49 plans listed Interview AI sessions, career copilot, comp benchmarking, negotiation drafts.</t>
  </si>
  <si>
    <t xml:space="preserve">Each line marked '(coming soon)'. Interview prep has since actually shipped.</t>
  </si>
  <si>
    <t xml:space="preserve">97aff1a, 1c47e16</t>
  </si>
  <si>
    <t xml:space="preserve">Duplicate multi-city listings</t>
  </si>
  <si>
    <t xml:space="preserve">12 identical Elastic cards in a row; 1,505 clusters, 2,836 rows repeating the card above.</t>
  </si>
  <si>
    <t xml:space="preserve">Same title+company collapses to one card reading '+N more locations'.</t>
  </si>
  <si>
    <t xml:space="preserve">Browser + SQL cluster count</t>
  </si>
  <si>
    <t xml:space="preserve">Browse had no relevance and no recency floor</t>
  </si>
  <si>
    <t xml:space="preserve">'Most relevant' was plain newest-first; a 2012 posting could rank on page 1.</t>
  </si>
  <si>
    <t xml:space="preserve">Title-match tiers when searching, freshness buckets, employer round-robin, 30-day default.</t>
  </si>
  <si>
    <t xml:space="preserve">Browser: freshest first, interleaved</t>
  </si>
  <si>
    <t xml:space="preserve">Indian cities filed under the US</t>
  </si>
  <si>
    <t xml:space="preserve">'Chennai, TN' read TN as Tennessee; 'Pune, IN' as Indiana; 'Dorchester, MA' landed in Switzerland.</t>
  </si>
  <si>
    <t xml:space="preserve">City-vs-subdivision tie-break; full US state names; trailing state codes.</t>
  </si>
  <si>
    <t xml:space="preserve">2110060</t>
  </si>
  <si>
    <t xml:space="preserve">12/12 resolver cases; 633 rows recovered</t>
  </si>
  <si>
    <t xml:space="preserve">US-only remote roles leaked into every country</t>
  </si>
  <si>
    <t xml:space="preserve">Choosing Indonesia returned 'Remote - Ohio' and 'Remote AZ' - 9 of the first 50 results.</t>
  </si>
  <si>
    <t xml:space="preserve">Those strings now resolve to the US, so they stop matching other countries.</t>
  </si>
  <si>
    <t xml:space="preserve">ATS suite 81/81</t>
  </si>
  <si>
    <t xml:space="preserve">UK rows stored under a non-ISO code</t>
  </si>
  <si>
    <t xml:space="preserve">29 rows stored country 'uk' (ISO is 'gb'), so they never matched a UK filter.</t>
  </si>
  <si>
    <t xml:space="preserve">Explicit codes pass through the alias table first.</t>
  </si>
  <si>
    <t xml:space="preserve">Resolver test: explicit UK -&gt; gb</t>
  </si>
  <si>
    <t xml:space="preserve">Rate limiter shared one bucket across features</t>
  </si>
  <si>
    <t xml:space="preserve">Key was user/IP only, so analyses, job matches and cover letters drained the same counter.</t>
  </si>
  <si>
    <t xml:space="preserve">Keys namespaced per route; each route's limit now means what it says.</t>
  </si>
  <si>
    <t xml:space="preserve">Found by a real 429 during testing</t>
  </si>
  <si>
    <t xml:space="preserve">Stale planner statistics</t>
  </si>
  <si>
    <t xml:space="preserve">Default India browse took 1,426ms; the same query took 26ms after a plain ANALYZE.</t>
  </si>
  <si>
    <t xml:space="preserve">run_sync refreshes statistics when a cycle completes. A composite index was tried and dropped (unused).</t>
  </si>
  <si>
    <t xml:space="preserve">d29750a</t>
  </si>
  <si>
    <t xml:space="preserve">EXPLAIN ANALYZE before/after</t>
  </si>
  <si>
    <t xml:space="preserve">Preview did not match the download</t>
  </si>
  <si>
    <t xml:space="preserve">On-screen resume put skills after education; the PDF put it before.</t>
  </si>
  <si>
    <t xml:space="preserve">One renderer, one section order, shared with PDF and DOCX export.</t>
  </si>
  <si>
    <t xml:space="preserve">Export tests assert order</t>
  </si>
  <si>
    <t xml:space="preserve">Preview injected user text unescaped</t>
  </si>
  <si>
    <t xml:space="preserve">Resume text (including AI output) was written into innerHTML raw.</t>
  </si>
  <si>
    <t xml:space="preserve">All preview text escaped through the existing esc() helper.</t>
  </si>
  <si>
    <t xml:space="preserve">Code review + template JS check</t>
  </si>
  <si>
    <t xml:space="preserve">Attribution line was false</t>
  </si>
  <si>
    <t xml:space="preserve">Browse credited 'Adzuna, Careerjet &amp; Jooble' - all removed in August.</t>
  </si>
  <si>
    <t xml:space="preserve">Now names the real employer-direct platforms and the refresh behaviour.</t>
  </si>
  <si>
    <t xml:space="preserve">Live page check</t>
  </si>
  <si>
    <t xml:space="preserve">A third of roles need an account to apply</t>
  </si>
  <si>
    <t xml:space="preserve">SmartRecruiters and Workday require registration; cards said so but nobody could filter it.</t>
  </si>
  <si>
    <t xml:space="preserve">Browse filter: 'Applying: no account needed', driven off platform specs.</t>
  </si>
  <si>
    <t xml:space="preserve">Claimed the job table lacked indexes</t>
  </si>
  <si>
    <t xml:space="preserve">Low</t>
  </si>
  <si>
    <t xml:space="preserve">My own audit was WRONG: four indexes already existed and the planner uses one.</t>
  </si>
  <si>
    <t xml:space="preserve">Claim corrected in the commit message and here. No index added.</t>
  </si>
  <si>
    <t xml:space="preserve">EXPLAIN shows idx_ats_posted in use</t>
  </si>
  <si>
    <t xml:space="preserve">Mobile drawer looked broken</t>
  </si>
  <si>
    <t xml:space="preserve">Investigated: the app window was hidden, so the page stopped painting and CSS transitions froze.</t>
  </si>
  <si>
    <t xml:space="preserve">Measurement artifact, not a defect. Geometry confirms the drawer and brand render correctly.</t>
  </si>
  <si>
    <t xml:space="preserve">Element geometry + screenshot</t>
  </si>
  <si>
    <t xml:space="preserve">~1,975 listings have no resolvable country</t>
  </si>
  <si>
    <t xml:space="preserve">Remaining strings name no country at all ('Remote Nationwide', 'TARRYTOWN', 'HSINCHU').</t>
  </si>
  <si>
    <t xml:space="preserve">~180 cities, ISO3 codes as whole tokens, dotted-token splitting ('USA.VA.Reston'), Indian state names and a US-state-name fallback. Ambiguous names (Lincoln, Durham) still resolve to nothing rather than a guess.</t>
  </si>
  <si>
    <t xml:space="preserve">9ad68ed</t>
  </si>
  <si>
    <t xml:space="preserve">1,020 corpus rows newly placed in a country vs the old code; 15 real strings in the suite</t>
  </si>
  <si>
    <t xml:space="preserve">CRON_SECRET not set in production</t>
  </si>
  <si>
    <t xml:space="preserve">Cron ran unauthenticated (throttled). Works, but authenticated runs skip the throttle.</t>
  </si>
  <si>
    <t xml:space="preserve">Sync made independent of it, so this is no longer blocking.</t>
  </si>
  <si>
    <t xml:space="preserve">Open - awaiting you</t>
  </si>
  <si>
    <t xml:space="preserve">/api/health shows cron_secret false</t>
  </si>
  <si>
    <t xml:space="preserve">Hero copy and the '75% ATS' statistic</t>
  </si>
  <si>
    <t xml:space="preserve">Hero still doesn't say plainly what the product does; the 75% figure traces to a vendor pitch.</t>
  </si>
  <si>
    <t xml:space="preserve">The 75% claim is gone (it traces to a 2012 Preptel sales pitch with no methodology). The other two now cite Glassdoor and the Ladders 2018 eye-tracking study, and the third tile says something true about the product. Hero subheading now states what the product does; 'PDF - DOCX - LinkedIn URL' and 'built by people who've sat on both sides of the interview table' are gone.</t>
  </si>
  <si>
    <t xml:space="preserve">4d83ee0</t>
  </si>
  <si>
    <t xml:space="preserve">42-check public content suite; live page strings</t>
  </si>
  <si>
    <t xml:space="preserve">Logged-in flows untested on production</t>
  </si>
  <si>
    <t xml:space="preserve">I will not create accounts on a live service.</t>
  </si>
  <si>
    <t xml:space="preserve">Exercised against real code and real AI locally, plus production's public endpoints and database.</t>
  </si>
  <si>
    <t xml:space="preserve">Open - your call</t>
  </si>
  <si>
    <t xml:space="preserve">Stated limitation</t>
  </si>
  <si>
    <t xml:space="preserve">Your prompt</t>
  </si>
  <si>
    <t xml:space="preserve">High-traffic warning when genuinely slow</t>
  </si>
  <si>
    <t xml:space="preserve">No load signal existed in the UI, and the risk was fake social proof.</t>
  </si>
  <si>
    <t xml:space="preserve">Driven by observed AI pool back-off and measured analysis latency; never random, never a traffic count.</t>
  </si>
  <si>
    <t xml:space="preserve">6a87b86</t>
  </si>
  <si>
    <t xml:space="preserve">28/28 dedicated suite</t>
  </si>
  <si>
    <t xml:space="preserve">Close ResuMax gaps: cover letters</t>
  </si>
  <si>
    <t xml:space="preserve">Not present at all.</t>
  </si>
  <si>
    <t xml:space="preserve">Grounded generator: no invented employers or metrics, bracketed placeholders, evidence list shown.</t>
  </si>
  <si>
    <t xml:space="preserve">31/31 suite + real run 1.1s</t>
  </si>
  <si>
    <t xml:space="preserve">Close ResuMax gaps: interview practice</t>
  </si>
  <si>
    <t xml:space="preserve">6-8 role-specific questions, each tied to your resume; uncovered topics listed as gaps, never invented.</t>
  </si>
  <si>
    <t xml:space="preserve">Real run: 2.0s, 8 questions</t>
  </si>
  <si>
    <t xml:space="preserve">Close ResuMax gaps: fit explained with evidence</t>
  </si>
  <si>
    <t xml:space="preserve">Match returned keywords already, but the UI showed only a percentage.</t>
  </si>
  <si>
    <t xml:space="preserve">Browse now shows which role terms are on your resume and which are not.</t>
  </si>
  <si>
    <t xml:space="preserve">Suite asserts both lists render</t>
  </si>
  <si>
    <t xml:space="preserve">Grow registry toward 1,000 boards</t>
  </si>
  <si>
    <t xml:space="preserve">319 boards produce ~2,000-3,500 new postings/day, capping the 3-day figure near 6,000.</t>
  </si>
  <si>
    <t xml:space="preserve">Merging sweep of ~900 untried companies (+115 boards, 10 rejected by hand) plus a second Workday discovery wave (+27 tenants, 23,923 jobs). TJX and Sysco excluded as retail/driver boards.</t>
  </si>
  <si>
    <t xml:space="preserve">In progress - 476 of 1,000</t>
  </si>
  <si>
    <t xml:space="preserve">Registry file count; local full cycle fetched 35,962 jobs from 470 boards</t>
  </si>
  <si>
    <t xml:space="preserve">20,000 jobs within 3 days</t>
  </si>
  <si>
    <t xml:space="preserve">5,926 today. Needs roughly 3x the current daily inflow.</t>
  </si>
  <si>
    <t xml:space="preserve">Registry growth plus two refreshes a day instead of one. The 3-day figure is a function of boards x refresh rate, and both moved.</t>
  </si>
  <si>
    <t xml:space="preserve">In progress - 6,790 of 20,000</t>
  </si>
  <si>
    <t xml:space="preserve">Local corpus after a full cycle: 36,034 jobs, 6,790 within 3 days</t>
  </si>
  <si>
    <t xml:space="preserve">1,000 jobs within 24 hours</t>
  </si>
  <si>
    <t xml:space="preserve">340 at time of measurement, but 3,579 carried a single day's date when a cycle completed.</t>
  </si>
  <si>
    <t xml:space="preserve">The 24-hour number was capped by how often a cycle completed, not by the boards. Budget 50s -&gt; 240s (Hobby functions run to 300s), cron every 2h, 12h rest after a completed cycle.</t>
  </si>
  <si>
    <t xml:space="preserve">Local corpus after a full cycle: 2,973 within 24 hours</t>
  </si>
  <si>
    <t xml:space="preserve">1,000 jobs within 15 hours</t>
  </si>
  <si>
    <t xml:space="preserve">Cannot be claimed honestly for ~34% of the board: Workday publishes only day-level ages.</t>
  </si>
  <si>
    <t xml:space="preserve">Sub-day recency is truthful only for platforms returning exact timestamps.</t>
  </si>
  <si>
    <t xml:space="preserve">Workday API field inspection</t>
  </si>
  <si>
    <t xml:space="preserve">Close ResuMax gap: interview answer scoring</t>
  </si>
  <si>
    <t xml:space="preserve">We generated questions and stopped there. Scoring was the half competitors charge for (200 behavioural scorings a month on their $49 plan).</t>
  </si>
  <si>
    <t xml:space="preserve">Practise any question and get scored 1-5 on a rubric. Every rubric line must quote your answer verbatim; the server checks each quote and blanks the ones that are not really there, capping that item at 2. The overall figure is the rubric mean, not a number the model picks.</t>
  </si>
  <si>
    <t xml:space="preserve">18a1eeb</t>
  </si>
  <si>
    <t xml:space="preserve">Real call: scored in 2.0s, every quote genuine, missing reflection scored 1</t>
  </si>
  <si>
    <t xml:space="preserve">Close ResuMax gap: behavioural (STAR) round</t>
  </si>
  <si>
    <t xml:space="preserve">A mode of its own: STAR questions built from situations actually in your resume, scored on Situation / Task / Action / Result / Reflection.</t>
  </si>
  <si>
    <t xml:space="preserve">test_ai_writers 55/55 including prompt routing</t>
  </si>
  <si>
    <t xml:space="preserve">Close ResuMax gap: system design round</t>
  </si>
  <si>
    <t xml:space="preserve">4-6 design prompts pitched at the seniority the posting implies, each naming the concepts it tests. A non-technical role returns 'no design round expected' instead of inventing questions.</t>
  </si>
  <si>
    <t xml:space="preserve">Real call returned settlement-service and Kafka design prompts</t>
  </si>
  <si>
    <t xml:space="preserve">Close ResuMax gap: salary benchmarks</t>
  </si>
  <si>
    <t xml:space="preserve">Marked 'needs licensed data; cannot be invented' last time. Only 181 of 26,884 rows carried a structured salary - but pay transparency laws put a range in the TEXT of thousands of postings, which we were discarding.</t>
  </si>
  <si>
    <t xml:space="preserve">Ranges are now read from the posting's own words during sync, with guards measured against real text (a pay word must precede it; hourly and monthly skipped; implausible numbers rejected; a bare '$' is USD only on US listings). New Salaries page: each company counted once at its midpoint, nothing summarised below five companies, currencies never mixed.</t>
  </si>
  <si>
    <t xml:space="preserve">4,511 local rows now carry pay; per-company dedupe fixed a UK median that one employer had set at GBP 305,000</t>
  </si>
  <si>
    <t xml:space="preserve">Close ResuMax gap: roadmaps</t>
  </si>
  <si>
    <t xml:space="preserve">Marked 'content project, not a feature'. It is a feature if it is built from the user's own resume rather than a fixed library.</t>
  </si>
  <si>
    <t xml:space="preserve">New Roadmap page: a week-by-week plan to a target role, sized to the hours you have, with one portfolio project per phase and the resume line it would earn (placeholders for results, never invented ones). Strengths must quote your resume or they are dropped.</t>
  </si>
  <si>
    <t xml:space="preserve">Real call: 4 phases planned into exactly 8 weeks, 3 strengths all genuinely quoted</t>
  </si>
  <si>
    <t xml:space="preserve">Close ResuMax gap: coding projects</t>
  </si>
  <si>
    <t xml:space="preserve">They ship 81 curated projects; we had none.</t>
  </si>
  <si>
    <t xml:space="preserve">Covered differently, and arguably better: the roadmap generates a project per phase chosen for the gaps in YOUR resume, not a fixed list. Their curated, human-reviewed library is still an advantage and the comparison page says so.</t>
  </si>
  <si>
    <t xml:space="preserve">Same suite as the roadmap</t>
  </si>
  <si>
    <t xml:space="preserve">Close ResuMax gap: guides library</t>
  </si>
  <si>
    <t xml:space="preserve">Flagged as the remaining gap with compounding marketing value, and nothing existed.</t>
  </si>
  <si>
    <t xml:space="preserve">/guides with six written guides, in the sitemap, with canonical URLs and Article structured data. Every figure names its source; the lead guide retires the '75% auto-rejected' myth instead of repeating it.</t>
  </si>
  <si>
    <t xml:space="preserve">42-check suite incl. 'no unsourced percentage in any guide'</t>
  </si>
  <si>
    <t xml:space="preserve">Close ResuMax gap: comparison page</t>
  </si>
  <si>
    <t xml:space="preserve">An SEO play we had not built.</t>
  </si>
  <si>
    <t xml:space="preserve">/compare/resumax, written to be fair: their column was read from their own public pages on 15 Sep 2026 and is dated, a section names four things they are ahead on, and our job numbers are read live from the corpus so the page cannot go stale.</t>
  </si>
  <si>
    <t xml:space="preserve">Facts re-verified against resumax.ai/pricing this session</t>
  </si>
  <si>
    <t xml:space="preserve">Close ResuMax gap: company interview banks</t>
  </si>
  <si>
    <t xml:space="preserve">They publish company-specific interview question banks.</t>
  </si>
  <si>
    <t xml:space="preserve">NOT built, deliberately. Doing it honestly needs real reported questions per company, which we do not have and cannot invent. An AI guess dressed as a company's real questions is the kind of thing this product exists not to do.</t>
  </si>
  <si>
    <t xml:space="preserve">Stated as a remaining gap on the comparison page</t>
  </si>
  <si>
    <t xml:space="preserve">Close ResuMax gap: MCP integration</t>
  </si>
  <si>
    <t xml:space="preserve">They let their agent be used from ChatGPT and Claude.</t>
  </si>
  <si>
    <t xml:space="preserve">NOT built. It needs an authenticated public API surface and token handling for a product with 16 users; the cost is real and the audience today is nobody. Listed as theirs on the comparison page.</t>
  </si>
  <si>
    <t xml:space="preserve">Judgement call, stated plainly rather than hidden</t>
  </si>
  <si>
    <t xml:space="preserve">Resume uploads refused the format the site advertised</t>
  </si>
  <si>
    <t xml:space="preserve">The landing page said 'PDF - DOCX - LinkedIn URL'. Every route accepted only PDF and TXT, and most people's resume is a Word file, so the most common upload was rejected.</t>
  </si>
  <si>
    <t xml:space="preserve">One extractor for PDF, DOCX and TXT, reading Word paragraphs AND table cells in document order (many Word templates lay the page out in a table, where paragraphs alone come back nearly empty). The LinkedIn URL claim was removed rather than implied.</t>
  </si>
  <si>
    <t xml:space="preserve">New 10-check suite incl. a table-layout .docx and a corrupt file</t>
  </si>
  <si>
    <t xml:space="preserve">The job sync was throttling itself for no reason</t>
  </si>
  <si>
    <t xml:space="preserve">It gave itself 50s against a presumed 60s function ceiling, so a ~5 minute refresh needed six cron runs and production completed roughly ONE cycle a day. That, not the registry, is why only ~120 postings carried the last 24 hours' date.</t>
  </si>
  <si>
    <t xml:space="preserve">Vercel Hobby functions run to 300s. Budget 240s, maxDuration 300, cron every 2 hours, and a 12h rest after each completed cycle - two refreshes a day, bounded by the plan's 4 CPU-hours a month rather than by guesswork.</t>
  </si>
  <si>
    <t xml:space="preserve">Full-cycle function CPU measured at 153s with the database excluded; 2 cycles/day ~ 2.5 CPU-hours a month</t>
  </si>
  <si>
    <t xml:space="preserve">The country resolver was the sync's biggest CPU cost</t>
  </si>
  <si>
    <t xml:space="preserve">It ran one re.search per name, building each pattern with re.escape on every call: ~430,000 searches per 1,000 Workday jobs, 5 ms a job.</t>
  </si>
  <si>
    <t xml:space="preserve">One compiled alternation per list. Identical answers 55x faster; the 28 strings that changed are multi-city ('Berlin, London') where the old code effectively picked at random between equal-length names.</t>
  </si>
  <si>
    <t xml:space="preserve">9,298 real location strings: 25.0s -&gt; 0.45s CPU, outputs diffed</t>
  </si>
  <si>
    <t xml:space="preserve">Both logo variants rendered stacked in dark mode</t>
  </si>
  <si>
    <t xml:space="preserve">On the new public pages, the light logo carried an inline display:block, and an inline style beats a dark-mode media query - so both marks drew, one nearly invisible. The same failure mode as the auth-page logo bug in August.</t>
  </si>
  <si>
    <t xml:space="preserve">Height and display moved into CSS; a test now asserts no inline display on either logo.</t>
  </si>
  <si>
    <t xml:space="preserve">Caught by screenshotting the rendered page, not by any HTTP 200</t>
  </si>
  <si>
    <t xml:space="preserve">Half of registered users never run an analysis</t>
  </si>
  <si>
    <t xml:space="preserve">8 of 16 registered users have never uploaded anything. No channel fixes this, and it halves the value of every visitor marketing sends.</t>
  </si>
  <si>
    <t xml:space="preserve">NOT fixed - measured and flagged. It needs watching a real person sign up without helping them, which is yours to do.</t>
  </si>
  <si>
    <t xml:space="preserve">Production database, 16 September 2026</t>
  </si>
  <si>
    <t xml:space="preserve">Summary (live formulas)</t>
  </si>
  <si>
    <t xml:space="preserve">Total items</t>
  </si>
  <si>
    <t xml:space="preserve">Fixed &amp; live (already deployed)</t>
  </si>
  <si>
    <t xml:space="preserve">Fixed this session, pending push</t>
  </si>
  <si>
    <t xml:space="preserve">Delivered (marketing)</t>
  </si>
  <si>
    <t xml:space="preserve">In progress</t>
  </si>
  <si>
    <t xml:space="preserve">Waiting on you</t>
  </si>
  <si>
    <t xml:space="preserve">Open - mine</t>
  </si>
  <si>
    <t xml:space="preserve">Not applicable / deliberate</t>
  </si>
  <si>
    <t xml:space="preserve">Critical items resolved</t>
  </si>
  <si>
    <t xml:space="preserve">Rows shaded green are new in this session (16 September 2026). Every figure was measured: production endpoints, the production database via SQL, real AI calls, real screenshots and a full local sync cycle. Nothing is estimated. Items marked 'pending push' are committed locally and NOT yet live.</t>
  </si>
  <si>
    <t xml:space="preserve">Metric</t>
  </si>
  <si>
    <t xml:space="preserve">Before</t>
  </si>
  <si>
    <t xml:space="preserve">After</t>
  </si>
  <si>
    <t xml:space="preserve">Change</t>
  </si>
  <si>
    <t xml:space="preserve">How it was measured</t>
  </si>
  <si>
    <t xml:space="preserve">Database round trip (/api/health/db)</t>
  </si>
  <si>
    <t xml:space="preserve">3.33 s</t>
  </si>
  <si>
    <t xml:space="preserve">0.161 s</t>
  </si>
  <si>
    <t xml:space="preserve">20x faster</t>
  </si>
  <si>
    <t xml:space="preserve">curl timing + x-vercel-id region header</t>
  </si>
  <si>
    <t xml:space="preserve">Resume analysis, with a job description</t>
  </si>
  <si>
    <t xml:space="preserve">~11.3 s (empty result)</t>
  </si>
  <si>
    <t xml:space="preserve">2.4 s (real result)</t>
  </si>
  <si>
    <t xml:space="preserve">4.7x faster</t>
  </si>
  <si>
    <t xml:space="preserve">Real POST /api/analyze, twice</t>
  </si>
  <si>
    <t xml:space="preserve">Browse query, unfiltered (production)</t>
  </si>
  <si>
    <t xml:space="preserve">5.30 s</t>
  </si>
  <si>
    <t xml:space="preserve">0.60 s</t>
  </si>
  <si>
    <t xml:space="preserve">8.8x faster</t>
  </si>
  <si>
    <t xml:space="preserve">EXPLAIN ANALYZE on production Postgres</t>
  </si>
  <si>
    <t xml:space="preserve">Browse query after statistics refresh</t>
  </si>
  <si>
    <t xml:space="preserve">1,426 ms</t>
  </si>
  <si>
    <t xml:space="preserve">26 ms</t>
  </si>
  <si>
    <t xml:space="preserve">55x faster</t>
  </si>
  <si>
    <t xml:space="preserve">EXPLAIN ANALYZE before/after ANALYZE</t>
  </si>
  <si>
    <t xml:space="preserve">Full job sync, 68 Workday employers</t>
  </si>
  <si>
    <t xml:space="preserve">~1 hour</t>
  </si>
  <si>
    <t xml:space="preserve">74 s</t>
  </si>
  <si>
    <t xml:space="preserve">48x faster</t>
  </si>
  <si>
    <t xml:space="preserve">Timed local full pass</t>
  </si>
  <si>
    <t xml:space="preserve">Dashboard requests before first paint</t>
  </si>
  <si>
    <t xml:space="preserve">2 serial</t>
  </si>
  <si>
    <t xml:space="preserve">0</t>
  </si>
  <si>
    <t xml:space="preserve">eliminated</t>
  </si>
  <si>
    <t xml:space="preserve">Browser network panel</t>
  </si>
  <si>
    <t xml:space="preserve">Total job listings</t>
  </si>
  <si>
    <t xml:space="preserve">17,806</t>
  </si>
  <si>
    <t xml:space="preserve">26,898</t>
  </si>
  <si>
    <t xml:space="preserve">+51%</t>
  </si>
  <si>
    <t xml:space="preserve">SQL count on production</t>
  </si>
  <si>
    <t xml:space="preserve">Listings posted within 24 hours</t>
  </si>
  <si>
    <t xml:space="preserve">340 (peak day 3,579)</t>
  </si>
  <si>
    <t xml:space="preserve">from zero</t>
  </si>
  <si>
    <t xml:space="preserve">SQL by posted_at</t>
  </si>
  <si>
    <t xml:space="preserve">Listings posted within 7 days</t>
  </si>
  <si>
    <t xml:space="preserve">8,861</t>
  </si>
  <si>
    <t xml:space="preserve">Listings posted within 30 days</t>
  </si>
  <si>
    <t xml:space="preserve">6,916</t>
  </si>
  <si>
    <t xml:space="preserve">15,706</t>
  </si>
  <si>
    <t xml:space="preserve">+127%</t>
  </si>
  <si>
    <t xml:space="preserve">India listings</t>
  </si>
  <si>
    <t xml:space="preserve">1,402</t>
  </si>
  <si>
    <t xml:space="preserve">3,383</t>
  </si>
  <si>
    <t xml:space="preserve">+141%</t>
  </si>
  <si>
    <t xml:space="preserve">SQL by country_code</t>
  </si>
  <si>
    <t xml:space="preserve">Dead listings removed</t>
  </si>
  <si>
    <t xml:space="preserve">2,229</t>
  </si>
  <si>
    <t xml:space="preserve">cleaned</t>
  </si>
  <si>
    <t xml:space="preserve">Prune count from production sync</t>
  </si>
  <si>
    <t xml:space="preserve">Employer boards in registry</t>
  </si>
  <si>
    <t xml:space="preserve">251</t>
  </si>
  <si>
    <t xml:space="preserve">319 (sweep running)</t>
  </si>
  <si>
    <t xml:space="preserve">+27% so far</t>
  </si>
  <si>
    <t xml:space="preserve">Registry file count</t>
  </si>
  <si>
    <t xml:space="preserve">Fabricated numbers shown to users</t>
  </si>
  <si>
    <t xml:space="preserve">4 places</t>
  </si>
  <si>
    <t xml:space="preserve">Insights, Progress, dashboard, goals</t>
  </si>
  <si>
    <t xml:space="preserve">Automated checks</t>
  </si>
  <si>
    <t xml:space="preserve">181</t>
  </si>
  <si>
    <t xml:space="preserve">244</t>
  </si>
  <si>
    <t xml:space="preserve">+63 checks</t>
  </si>
  <si>
    <t xml:space="preserve">All suites green</t>
  </si>
  <si>
    <t xml:space="preserve">Measured 16 September 2026</t>
  </si>
  <si>
    <t xml:space="preserve">319</t>
  </si>
  <si>
    <t xml:space="preserve">476</t>
  </si>
  <si>
    <t xml:space="preserve">+49%</t>
  </si>
  <si>
    <t xml:space="preserve">Live listings in the corpus</t>
  </si>
  <si>
    <t xml:space="preserve">26,884 (production)</t>
  </si>
  <si>
    <t xml:space="preserve">36,034 (local full cycle)</t>
  </si>
  <si>
    <t xml:space="preserve">+34%</t>
  </si>
  <si>
    <t xml:space="preserve">SQL count after a complete cycle</t>
  </si>
  <si>
    <t xml:space="preserve">Listings within 3 days</t>
  </si>
  <si>
    <t xml:space="preserve">4,727 (production)</t>
  </si>
  <si>
    <t xml:space="preserve">6,790 (local full cycle)</t>
  </si>
  <si>
    <t xml:space="preserve">+44%</t>
  </si>
  <si>
    <t xml:space="preserve">Listings within 24 hours</t>
  </si>
  <si>
    <t xml:space="preserve">121 (production)</t>
  </si>
  <si>
    <t xml:space="preserve">2,973 (local full cycle)</t>
  </si>
  <si>
    <t xml:space="preserve">24x</t>
  </si>
  <si>
    <t xml:space="preserve">SQL by posted_at; driven by refresh rate, not board count</t>
  </si>
  <si>
    <t xml:space="preserve">Full refreshes per day</t>
  </si>
  <si>
    <t xml:space="preserve">~1</t>
  </si>
  <si>
    <t xml:space="preserve">2</t>
  </si>
  <si>
    <t xml:space="preserve">2x</t>
  </si>
  <si>
    <t xml:space="preserve">240s budget, 12h rest, cron every 2h</t>
  </si>
  <si>
    <t xml:space="preserve">Function CPU per full refresh</t>
  </si>
  <si>
    <t xml:space="preserve">not measured</t>
  </si>
  <si>
    <t xml:space="preserve">153 s</t>
  </si>
  <si>
    <t xml:space="preserve">measured</t>
  </si>
  <si>
    <t xml:space="preserve">Fetch + parse + normalise, database excluded</t>
  </si>
  <si>
    <t xml:space="preserve">Location resolver CPU (9,298 strings)</t>
  </si>
  <si>
    <t xml:space="preserve">25.0 s</t>
  </si>
  <si>
    <t xml:space="preserve">0.45 s</t>
  </si>
  <si>
    <t xml:space="preserve">Same outputs, diffed string by string</t>
  </si>
  <si>
    <t xml:space="preserve">Rows with no resolvable country</t>
  </si>
  <si>
    <t xml:space="preserve">~3,000 in this corpus</t>
  </si>
  <si>
    <t xml:space="preserve">1,960</t>
  </si>
  <si>
    <t xml:space="preserve">-1,020 rows</t>
  </si>
  <si>
    <t xml:space="preserve">Old vs new resolver over every stored location</t>
  </si>
  <si>
    <t xml:space="preserve">Listings carrying a pay range</t>
  </si>
  <si>
    <t xml:space="preserve">181 of 26,884 (0.7%)</t>
  </si>
  <si>
    <t xml:space="preserve">4,511 of 36,034 (12.5%)</t>
  </si>
  <si>
    <t xml:space="preserve">17x</t>
  </si>
  <si>
    <t xml:space="preserve">Ranges read from the posting's own text</t>
  </si>
  <si>
    <t xml:space="preserve">Resume formats accepted</t>
  </si>
  <si>
    <t xml:space="preserve">PDF, TXT</t>
  </si>
  <si>
    <t xml:space="preserve">PDF, DOCX, TXT</t>
  </si>
  <si>
    <t xml:space="preserve">DOCX added</t>
  </si>
  <si>
    <t xml:space="preserve">The format the landing page already advertised</t>
  </si>
  <si>
    <t xml:space="preserve">258</t>
  </si>
  <si>
    <t xml:space="preserve">395</t>
  </si>
  <si>
    <t xml:space="preserve">+137</t>
  </si>
  <si>
    <t xml:space="preserve">Public pages a search engine can index</t>
  </si>
  <si>
    <t xml:space="preserve">1</t>
  </si>
  <si>
    <t xml:space="preserve">9</t>
  </si>
  <si>
    <t xml:space="preserve">+8</t>
  </si>
  <si>
    <t xml:space="preserve">Landing + 6 guides + guides index + comparison</t>
  </si>
  <si>
    <t xml:space="preserve">Capability</t>
  </si>
  <si>
    <t xml:space="preserve">ResuMax</t>
  </si>
  <si>
    <t xml:space="preserve">JobSpike now</t>
  </si>
  <si>
    <t xml:space="preserve">Verdict</t>
  </si>
  <si>
    <t xml:space="preserve">Note</t>
  </si>
  <si>
    <t xml:space="preserve">Job board</t>
  </si>
  <si>
    <t xml:space="preserve">12,662 roles, 11 source families (checked 15 Sep 2026)</t>
  </si>
  <si>
    <t xml:space="preserve">36,034 roles, 476 employer boards, all employer-direct</t>
  </si>
  <si>
    <t xml:space="preserve">Ahead</t>
  </si>
  <si>
    <t xml:space="preserve">Their links can be aggregator reposts; every one of ours is the employer's own page.</t>
  </si>
  <si>
    <t xml:space="preserve">Resume score / ATS report</t>
  </si>
  <si>
    <t xml:space="preserve">Resume Score</t>
  </si>
  <si>
    <t xml:space="preserve">Multi-dimension analysis</t>
  </si>
  <si>
    <t xml:space="preserve">Parity</t>
  </si>
  <si>
    <t xml:space="preserve">Ours also returns a recruiter verdict.</t>
  </si>
  <si>
    <t xml:space="preserve">Resume tailoring</t>
  </si>
  <si>
    <t xml:space="preserve">Tailoring workflows</t>
  </si>
  <si>
    <t xml:space="preserve">Improve + side-by-side diff</t>
  </si>
  <si>
    <t xml:space="preserve">Both refuse to invent experience.</t>
  </si>
  <si>
    <t xml:space="preserve">Fit explained with evidence</t>
  </si>
  <si>
    <t xml:space="preserve">Yes, a stated selling point</t>
  </si>
  <si>
    <t xml:space="preserve">Match % plus matched/missing terms</t>
  </si>
  <si>
    <t xml:space="preserve">Closed</t>
  </si>
  <si>
    <t xml:space="preserve">Shipped 12 Sep (1c47e16).</t>
  </si>
  <si>
    <t xml:space="preserve">Cover letters</t>
  </si>
  <si>
    <t xml:space="preserve">1 free, more on paid</t>
  </si>
  <si>
    <t xml:space="preserve">Unlimited, free</t>
  </si>
  <si>
    <t xml:space="preserve">Shipped 12 Sep with placeholder discipline.</t>
  </si>
  <si>
    <t xml:space="preserve">Interview practice</t>
  </si>
  <si>
    <t xml:space="preserve">Grounded practice + scoring</t>
  </si>
  <si>
    <t xml:space="preserve">Questions, STAR and system design, plus answer scoring that quotes you</t>
  </si>
  <si>
    <t xml:space="preserve">Shipped 16 Sep: rubric per mode, quotes verified against your answer.</t>
  </si>
  <si>
    <t xml:space="preserve">Application pipeline</t>
  </si>
  <si>
    <t xml:space="preserve">Stage, next action, follow-up</t>
  </si>
  <si>
    <t xml:space="preserve">Stage strip, filter, follow-up flag</t>
  </si>
  <si>
    <t xml:space="preserve">Ours flags 7-day silence.</t>
  </si>
  <si>
    <t xml:space="preserve">Resume builder / templates</t>
  </si>
  <si>
    <t xml:space="preserve">ATS-ready templates</t>
  </si>
  <si>
    <t xml:space="preserve">10 templates, 2 change section order</t>
  </si>
  <si>
    <t xml:space="preserve">Parity+</t>
  </si>
  <si>
    <t xml:space="preserve">Preview matches the export.</t>
  </si>
  <si>
    <t xml:space="preserve">Job matching digest</t>
  </si>
  <si>
    <t xml:space="preserve">Career Market matching</t>
  </si>
  <si>
    <t xml:space="preserve">For You, resume-matched</t>
  </si>
  <si>
    <t xml:space="preserve">Ours is two-phase for speed.</t>
  </si>
  <si>
    <t xml:space="preserve">Roadmaps</t>
  </si>
  <si>
    <t xml:space="preserve">Yes</t>
  </si>
  <si>
    <t xml:space="preserve">Week-by-week plan with a project per phase, from your resume</t>
  </si>
  <si>
    <t xml:space="preserve">Shipped 16 Sep.</t>
  </si>
  <si>
    <t xml:space="preserve">Coding projects</t>
  </si>
  <si>
    <t xml:space="preserve">81 projects</t>
  </si>
  <si>
    <t xml:space="preserve">A project per roadmap phase, chosen for your gaps</t>
  </si>
  <si>
    <t xml:space="preserve">Closed differently</t>
  </si>
  <si>
    <t xml:space="preserve">Their curated library is still an advantage; the comparison page says so.</t>
  </si>
  <si>
    <t xml:space="preserve">System design practice</t>
  </si>
  <si>
    <t xml:space="preserve">Sessions on paid tiers</t>
  </si>
  <si>
    <t xml:space="preserve">Design prompts sized to the role, plus scoring</t>
  </si>
  <si>
    <t xml:space="preserve">Shipped 16 Sep, free.</t>
  </si>
  <si>
    <t xml:space="preserve">Behavioural scoring</t>
  </si>
  <si>
    <t xml:space="preserve">200 scorings on Premium</t>
  </si>
  <si>
    <t xml:space="preserve">STAR scoring, unlimited</t>
  </si>
  <si>
    <t xml:space="preserve">Salary benchmarks</t>
  </si>
  <si>
    <t xml:space="preserve">Salaries section</t>
  </si>
  <si>
    <t xml:space="preserve">Medians from employer-published ranges, sample size shown</t>
  </si>
  <si>
    <t xml:space="preserve">Built from live postings; withheld below five companies rather than estimated.</t>
  </si>
  <si>
    <t xml:space="preserve">Company interview banks</t>
  </si>
  <si>
    <t xml:space="preserve">Company Interviews</t>
  </si>
  <si>
    <t xml:space="preserve">No</t>
  </si>
  <si>
    <t xml:space="preserve">Gap - deliberate</t>
  </si>
  <si>
    <t xml:space="preserve">Needs real reported questions; an AI guess presented as a company's real questions is exactly what this product refuses to do.</t>
  </si>
  <si>
    <t xml:space="preserve">Guides / resume examples</t>
  </si>
  <si>
    <t xml:space="preserve">Large library</t>
  </si>
  <si>
    <t xml:space="preserve">Six guides at /guides, every figure sourced</t>
  </si>
  <si>
    <t xml:space="preserve">Closed - and growing</t>
  </si>
  <si>
    <t xml:space="preserve">Two more a month is the plan.</t>
  </si>
  <si>
    <t xml:space="preserve">MCP integration</t>
  </si>
  <si>
    <t xml:space="preserve">ChatGPT / Claude / Codex</t>
  </si>
  <si>
    <t xml:space="preserve">Needs an authenticated public API for a product with 16 users.</t>
  </si>
  <si>
    <t xml:space="preserve">Comparison pages</t>
  </si>
  <si>
    <t xml:space="preserve">Compare Tools</t>
  </si>
  <si>
    <t xml:space="preserve">/compare/resumax, dated and fair</t>
  </si>
  <si>
    <t xml:space="preserve">Names four things they are ahead on.</t>
  </si>
  <si>
    <t xml:space="preserve">Pricing</t>
  </si>
  <si>
    <t xml:space="preserve">$29 and $49/mo ($12/$17 annual)</t>
  </si>
  <si>
    <t xml:space="preserve">Free, unlimited</t>
  </si>
  <si>
    <t xml:space="preserve">Free tier beats their 5 scores/month.</t>
  </si>
  <si>
    <t xml:space="preserve">Gaps remaining</t>
  </si>
  <si>
    <t xml:space="preserve">Closed or ahead</t>
  </si>
  <si>
    <t xml:space="preserve">Model</t>
  </si>
  <si>
    <t xml:space="preserve">Analysis time</t>
  </si>
  <si>
    <t xml:space="preserve">Analysis result</t>
  </si>
  <si>
    <t xml:space="preserve">Job match</t>
  </si>
  <si>
    <t xml:space="preserve">Routing decision</t>
  </si>
  <si>
    <t xml:space="preserve">groq / openai gpt-oss-120b</t>
  </si>
  <si>
    <t xml:space="preserve">7.4 s</t>
  </si>
  <si>
    <t xml:space="preserve">Complete</t>
  </si>
  <si>
    <t xml:space="preserve">1.9 s</t>
  </si>
  <si>
    <t xml:space="preserve">First choice: best measured quality.</t>
  </si>
  <si>
    <t xml:space="preserve">groq / openai gpt-oss-20b</t>
  </si>
  <si>
    <t xml:space="preserve">2.3-2.8 s</t>
  </si>
  <si>
    <t xml:space="preserve">1.4 s</t>
  </si>
  <si>
    <t xml:space="preserve">Second: fastest complete result.</t>
  </si>
  <si>
    <t xml:space="preserve">groq / gpt-oss-safeguard-20b</t>
  </si>
  <si>
    <t xml:space="preserve">2.8 s</t>
  </si>
  <si>
    <t xml:space="preserve">0.8 s</t>
  </si>
  <si>
    <t xml:space="preserve">Third.</t>
  </si>
  <si>
    <t xml:space="preserve">groq / qwen3.8-27b</t>
  </si>
  <si>
    <t xml:space="preserve">10.7 s</t>
  </si>
  <si>
    <t xml:space="preserve">1.7 s</t>
  </si>
  <si>
    <t xml:space="preserve">Fourth.</t>
  </si>
  <si>
    <t xml:space="preserve">gemini / 3.1-flash-lite</t>
  </si>
  <si>
    <t xml:space="preserve">16.7 s</t>
  </si>
  <si>
    <t xml:space="preserve">3.7 s</t>
  </si>
  <si>
    <t xml:space="preserve">Capacity cushion: ~250k token pool.</t>
  </si>
  <si>
    <t xml:space="preserve">gemini / 3.1-flash-lite-preview</t>
  </si>
  <si>
    <t xml:space="preserve">13.4 s</t>
  </si>
  <si>
    <t xml:space="preserve">6.2 s</t>
  </si>
  <si>
    <t xml:space="preserve">Fallback.</t>
  </si>
  <si>
    <t xml:space="preserve">gemini / 3-flash-preview</t>
  </si>
  <si>
    <t xml:space="preserve">15.9 s</t>
  </si>
  <si>
    <t xml:space="preserve">7.8 s</t>
  </si>
  <si>
    <t xml:space="preserve">Fallback; needs a 2,000+ budget.</t>
  </si>
  <si>
    <t xml:space="preserve">groq / compound-mini</t>
  </si>
  <si>
    <t xml:space="preserve">11.3 s</t>
  </si>
  <si>
    <t xml:space="preserve">EMPTY</t>
  </si>
  <si>
    <t xml:space="preserve">4.2 s (ok)</t>
  </si>
  <si>
    <t xml:space="preserve">Barred from analysis; small JSON calls only.</t>
  </si>
  <si>
    <t xml:space="preserve">gemini / flash-lite-latest</t>
  </si>
  <si>
    <t xml:space="preserve">12.5 s</t>
  </si>
  <si>
    <t xml:space="preserve">3.6 s (ok)</t>
  </si>
  <si>
    <t xml:space="preserve">nvidia / nemotron-3 (NIM)</t>
  </si>
  <si>
    <t xml:space="preserve">58.4 s (Aug)</t>
  </si>
  <si>
    <t xml:space="preserve">Timed out</t>
  </si>
  <si>
    <t xml:space="preserve">10.4 s</t>
  </si>
  <si>
    <t xml:space="preserve">Already excluded in August; small calls only.</t>
  </si>
  <si>
    <t xml:space="preserve">Measured 11 Sep 2026 on JobSpike's real analysis prompt with real mock resumes, at production settings. 'EMPTY' means the model returned valid JSON containing no score and no dimensions - which the normalizer then padded with a default score of 75 before this was fixed.</t>
  </si>
  <si>
    <t xml:space="preserve">Item</t>
  </si>
  <si>
    <t xml:space="preserve">Owner</t>
  </si>
  <si>
    <t xml:space="preserve">Why it is still open</t>
  </si>
  <si>
    <t xml:space="preserve">Next step</t>
  </si>
  <si>
    <t xml:space="preserve">Half of registered users never run an analysis (8 of 16)</t>
  </si>
  <si>
    <t xml:space="preserve">You</t>
  </si>
  <si>
    <t xml:space="preserve">Measured this session. It halves the value of every visitor any marketing sends, and no channel fixes it.</t>
  </si>
  <si>
    <t xml:space="preserve">Watch one real person sign up without helping them; write down where they hesitate.</t>
  </si>
  <si>
    <t xml:space="preserve">Send the cold emails / make the calls</t>
  </si>
  <si>
    <t xml:space="preserve">Drafts are written but nothing has been sent, and nothing will be sent on your behalf.</t>
  </si>
  <si>
    <t xml:space="preserve">Read marketing/cold-email.md, make it sound like you, build a list of 40 colleges, send 20.</t>
  </si>
  <si>
    <t xml:space="preserve">Google Search Console + submit the sitemap</t>
  </si>
  <si>
    <t xml:space="preserve">The guides are live and in the sitemap, but nothing tells Google they exist.</t>
  </si>
  <si>
    <t xml:space="preserve">Verify the domain, submit https://www.jobspike.in/sitemap.xml. About an hour.</t>
  </si>
  <si>
    <t xml:space="preserve">Reddit rules could not be verified</t>
  </si>
  <si>
    <t xml:space="preserve">Reddit is unreachable from every tool available here, and inventing rules or thread links is not acceptable.</t>
  </si>
  <si>
    <t xml:space="preserve">Open each subreddit's rules page yourself before posting; the plan lists the candidates.</t>
  </si>
  <si>
    <t xml:space="preserve">Registry to 1,000 boards</t>
  </si>
  <si>
    <t xml:space="preserve">Me</t>
  </si>
  <si>
    <t xml:space="preserve">476 now. The general-platform pool is close to exhausted at this hit rate (115 boards from ~900 candidates); Workday discovery is still yielding.</t>
  </si>
  <si>
    <t xml:space="preserve">A third Workday wave plus regional platforms (Darwinbox, Keka) is the way to 1,000.</t>
  </si>
  <si>
    <t xml:space="preserve">20,000 listings within 3 days</t>
  </si>
  <si>
    <t xml:space="preserve">6,790 after a full local cycle. Scales with boards x refresh rate; both improved, neither is finished.</t>
  </si>
  <si>
    <t xml:space="preserve">Same as above, plus watching whether two refreshes a day stay inside the CPU budget.</t>
  </si>
  <si>
    <t xml:space="preserve">Set CRON_SECRET in Vercel</t>
  </si>
  <si>
    <t xml:space="preserve">Not blocking: the sync runs throttled without it. An authenticated run would skip the throttle.</t>
  </si>
  <si>
    <t xml:space="preserve">Add it in Vercel (Production), then redeploy - env vars only reach functions on a new deployment.</t>
  </si>
  <si>
    <t xml:space="preserve">Logged-in flows on production itself</t>
  </si>
  <si>
    <t xml:space="preserve">Run a two-account pass yourself after the push.</t>
  </si>
  <si>
    <t xml:space="preserve">~1,960 listings still have no country</t>
  </si>
  <si>
    <t xml:space="preserve">What is left genuinely names no country: 'Hybrid', 'Remote Nationwide', 'Home based - Worldwide', 'EMEA'.</t>
  </si>
  <si>
    <t xml:space="preserve">Leave blank rather than guess. 1,020 rows were recovered this session.</t>
  </si>
  <si>
    <t xml:space="preserve">Suite</t>
  </si>
  <si>
    <t xml:space="preserve">Checks</t>
  </si>
  <si>
    <t xml:space="preserve">Covers</t>
  </si>
  <si>
    <t xml:space="preserve">scratch/test_ats_layer.py</t>
  </si>
  <si>
    <t xml:space="preserve">Green</t>
  </si>
  <si>
    <t xml:space="preserve">Job layer: resolvers, pay parsing, filters, ranking, salary benchmark maths, idempotency</t>
  </si>
  <si>
    <t xml:space="preserve">scratch/test_production_safe.py</t>
  </si>
  <si>
    <t xml:space="preserve">Production safety, auth, DB adapter, analysis contract, exports</t>
  </si>
  <si>
    <t xml:space="preserve">scratch/test_ai_writers.py</t>
  </si>
  <si>
    <t xml:space="preserve">Cover letter, interview prep, all three modes, answer scoring and quote verification</t>
  </si>
  <si>
    <t xml:space="preserve">scratch/test_public_content.py</t>
  </si>
  <si>
    <t xml:space="preserve">Guides, comparison page, sitemap, sourcing rules, logo rendering</t>
  </si>
  <si>
    <t xml:space="preserve">scratch/test_career_tools.py</t>
  </si>
  <si>
    <t xml:space="preserve">Roadmap grounding and clamps; salary benchmark dedupe, currency separation, minimum sample</t>
  </si>
  <si>
    <t xml:space="preserve">scratch/test_load_notice.py</t>
  </si>
  <si>
    <t xml:space="preserve">High-traffic notice: hidden unless genuinely slow, never random</t>
  </si>
  <si>
    <t xml:space="preserve">scratch/test_sprint1_1_matrix.py</t>
  </si>
  <si>
    <t xml:space="preserve">Sprint acceptance matrix</t>
  </si>
  <si>
    <t xml:space="preserve">scratch/test_docx_upload.py</t>
  </si>
  <si>
    <t xml:space="preserve">DOCX extraction incl. table layouts; routes accept the format</t>
  </si>
  <si>
    <t xml:space="preserve">scratch/test_export_fidelity.py</t>
  </si>
  <si>
    <t xml:space="preserve">PDF/DOCX fidelity, special characters, multi-page</t>
  </si>
  <si>
    <t xml:space="preserve">scratch/check_template_js.py</t>
  </si>
  <si>
    <t xml:space="preserve">Every inline script block parses (8 templates)</t>
  </si>
  <si>
    <t xml:space="preserve">Total</t>
  </si>
  <si>
    <t xml:space="preserve">Was 258 at the last report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</si>
</sst>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1"/>
      <color rgb="FFFFFFFF"/>
      <name val="Cambria"/>
      <family val="0"/>
      <charset val="1"/>
    </font>
    <font>
      <sz val="10"/>
      <color theme="1"/>
      <name val="Arial"/>
      <family val="0"/>
      <charset val="1"/>
    </font>
    <font>
      <b val="true"/>
      <sz val="10"/>
      <color theme="1"/>
      <name val="Arial"/>
      <family val="0"/>
      <charset val="1"/>
    </font>
    <font>
      <sz val="9"/>
      <color theme="1"/>
      <name val="Consolas"/>
      <family val="0"/>
      <charset val="1"/>
    </font>
    <font>
      <sz val="9"/>
      <color theme="1"/>
      <name val="Arial"/>
      <family val="0"/>
      <charset val="1"/>
    </font>
    <font>
      <b val="true"/>
      <sz val="11"/>
      <name val="Cambria"/>
      <family val="0"/>
      <charset val="1"/>
    </font>
  </fonts>
  <fills count="11">
    <fill>
      <patternFill patternType="none"/>
    </fill>
    <fill>
      <patternFill patternType="gray125"/>
    </fill>
    <fill>
      <patternFill patternType="solid">
        <fgColor rgb="FF000000"/>
        <bgColor rgb="FF003300"/>
      </patternFill>
    </fill>
    <fill>
      <patternFill patternType="solid">
        <fgColor rgb="FF1F2A44"/>
        <bgColor rgb="FF003366"/>
      </patternFill>
    </fill>
    <fill>
      <patternFill patternType="solid">
        <fgColor rgb="FFE3F1E8"/>
        <bgColor rgb="FFEAF3EA"/>
      </patternFill>
    </fill>
    <fill>
      <patternFill patternType="solid">
        <fgColor rgb="FFF4F2EC"/>
        <bgColor rgb="FFF0EFEC"/>
      </patternFill>
    </fill>
    <fill>
      <patternFill patternType="solid">
        <fgColor rgb="FFF0EFEC"/>
        <bgColor rgb="FFF4F2EC"/>
      </patternFill>
    </fill>
    <fill>
      <patternFill patternType="solid">
        <fgColor rgb="FFFDF3D7"/>
        <bgColor rgb="FFF4F2EC"/>
      </patternFill>
    </fill>
    <fill>
      <patternFill patternType="solid">
        <fgColor rgb="FFE7EDFB"/>
        <bgColor rgb="FFF0EFEC"/>
      </patternFill>
    </fill>
    <fill>
      <patternFill patternType="solid">
        <fgColor rgb="FFEAF3EA"/>
        <bgColor rgb="FFE3F1E8"/>
      </patternFill>
    </fill>
    <fill>
      <patternFill patternType="solid">
        <fgColor rgb="FFF6DCD9"/>
        <bgColor rgb="FFD9D9D9"/>
      </patternFill>
    </fill>
  </fills>
  <borders count="3">
    <border diagonalUp="false" diagonalDown="false">
      <left/>
      <right/>
      <top/>
      <bottom/>
      <diagonal/>
    </border>
    <border diagonalUp="false" diagonalDown="false">
      <left style="thin">
        <color rgb="FFD8D4CB"/>
      </left>
      <right style="thin">
        <color rgb="FFD8D4CB"/>
      </right>
      <top style="thin">
        <color rgb="FFD8D4CB"/>
      </top>
      <bottom style="thin">
        <color rgb="FFD8D4CB"/>
      </bottom>
      <diagonal/>
    </border>
    <border diagonalUp="false" diagonalDown="false">
      <left/>
      <right/>
      <top/>
      <bottom style="thin">
        <color rgb="FFD9D9D9"/>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6" fillId="4"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6" fillId="5" borderId="2"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4" fillId="2" borderId="2" xfId="0" applyFont="true" applyBorder="true" applyAlignment="true" applyProtection="false">
      <alignment horizontal="general" vertical="top" textRotation="0" wrapText="true" indent="0" shrinkToFit="false"/>
      <protection locked="true" hidden="false"/>
    </xf>
    <xf numFmtId="164" fontId="8" fillId="5" borderId="2" xfId="0" applyFont="true" applyBorder="true" applyAlignment="true" applyProtection="false">
      <alignment horizontal="general" vertical="top" textRotation="0" wrapText="true" indent="0" shrinkToFit="false"/>
      <protection locked="true" hidden="false"/>
    </xf>
    <xf numFmtId="164" fontId="6" fillId="6" borderId="2" xfId="0" applyFont="true" applyBorder="true" applyAlignment="true" applyProtection="false">
      <alignment horizontal="general" vertical="top" textRotation="0" wrapText="true" indent="0" shrinkToFit="false"/>
      <protection locked="true" hidden="false"/>
    </xf>
    <xf numFmtId="164" fontId="6" fillId="7" borderId="2" xfId="0" applyFont="true" applyBorder="true" applyAlignment="true" applyProtection="false">
      <alignment horizontal="general" vertical="top" textRotation="0" wrapText="true" indent="0" shrinkToFit="false"/>
      <protection locked="true" hidden="false"/>
    </xf>
    <xf numFmtId="164" fontId="6" fillId="8" borderId="2" xfId="0" applyFont="true" applyBorder="true" applyAlignment="true" applyProtection="false">
      <alignment horizontal="general" vertical="top" textRotation="0" wrapText="true" indent="0" shrinkToFit="false"/>
      <protection locked="true" hidden="false"/>
    </xf>
    <xf numFmtId="164" fontId="0" fillId="9" borderId="2" xfId="0" applyFont="false" applyBorder="true" applyAlignment="true" applyProtection="false">
      <alignment horizontal="general" vertical="top" textRotation="0" wrapText="true" indent="0" shrinkToFit="false"/>
      <protection locked="true" hidden="false"/>
    </xf>
    <xf numFmtId="164" fontId="7" fillId="9" borderId="2" xfId="0" applyFont="true" applyBorder="true" applyAlignment="true" applyProtection="false">
      <alignment horizontal="general" vertical="top" textRotation="0" wrapText="true" indent="0" shrinkToFit="false"/>
      <protection locked="true" hidden="false"/>
    </xf>
    <xf numFmtId="164" fontId="6" fillId="9" borderId="2" xfId="0" applyFont="true" applyBorder="true" applyAlignment="true" applyProtection="false">
      <alignment horizontal="general" vertical="top" textRotation="0" wrapText="true" indent="0" shrinkToFit="false"/>
      <protection locked="true" hidden="false"/>
    </xf>
    <xf numFmtId="164" fontId="9" fillId="9" borderId="2"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7" fillId="10" borderId="2"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Accent 1 1" xfId="20"/>
  </cellStyles>
  <dxfs count="9">
    <dxf>
      <fill>
        <patternFill patternType="solid">
          <fgColor rgb="FF1F2A44"/>
          <bgColor rgb="FF000000"/>
        </patternFill>
      </fill>
    </dxf>
    <dxf>
      <fill>
        <patternFill patternType="solid">
          <fgColor rgb="FFF4F2E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3F1E8"/>
          <bgColor rgb="FF000000"/>
        </patternFill>
      </fill>
    </dxf>
    <dxf>
      <fill>
        <patternFill patternType="solid">
          <fgColor rgb="FFE7EDFB"/>
          <bgColor rgb="FF000000"/>
        </patternFill>
      </fill>
    </dxf>
    <dxf>
      <fill>
        <patternFill patternType="solid">
          <fgColor rgb="FFF0EFEC"/>
          <bgColor rgb="FF000000"/>
        </patternFill>
      </fill>
    </dxf>
    <dxf>
      <fill>
        <patternFill patternType="solid">
          <fgColor rgb="FFFDF3D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D4CB"/>
      <rgbColor rgb="FF808080"/>
      <rgbColor rgb="FF9999FF"/>
      <rgbColor rgb="FF993366"/>
      <rgbColor rgb="FFFDF3D7"/>
      <rgbColor rgb="FFE3F1E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3EA"/>
      <rgbColor rgb="FFE7EDFB"/>
      <rgbColor rgb="FFF4F2EC"/>
      <rgbColor rgb="FFF0EFEC"/>
      <rgbColor rgb="FFFF99CC"/>
      <rgbColor rgb="FFCC99FF"/>
      <rgbColor rgb="FFF6DCD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6796875" defaultRowHeight="15" customHeight="true"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34"/>
    <col collapsed="false" customWidth="true" hidden="false" outlineLevel="0" max="4" min="4" style="1" width="10"/>
    <col collapsed="false" customWidth="true" hidden="false" outlineLevel="0" max="6" min="5" style="1" width="52"/>
    <col collapsed="false" customWidth="true" hidden="false" outlineLevel="0" max="7" min="7" style="1" width="15"/>
    <col collapsed="false" customWidth="true" hidden="false" outlineLevel="0" max="8" min="8" style="1" width="11"/>
    <col collapsed="false" customWidth="true" hidden="false" outlineLevel="0" max="9" min="9" style="1" width="30"/>
  </cols>
  <sheetData>
    <row r="1" customFormat="false" ht="12.75" hidden="false" customHeight="true" outlineLevel="0" collapsed="false">
      <c r="A1" s="2" t="s">
        <v>0</v>
      </c>
      <c r="B1" s="2" t="s">
        <v>1</v>
      </c>
      <c r="C1" s="2" t="s">
        <v>2</v>
      </c>
      <c r="D1" s="2" t="s">
        <v>3</v>
      </c>
      <c r="E1" s="2" t="s">
        <v>4</v>
      </c>
      <c r="F1" s="2" t="s">
        <v>5</v>
      </c>
      <c r="G1" s="2" t="s">
        <v>6</v>
      </c>
      <c r="H1" s="2" t="s">
        <v>7</v>
      </c>
      <c r="I1" s="2" t="s">
        <v>8</v>
      </c>
    </row>
    <row r="2" customFormat="false" ht="23.25" hidden="false" customHeight="true" outlineLevel="0" collapsed="false">
      <c r="A2" s="3" t="n">
        <v>1</v>
      </c>
      <c r="B2" s="3" t="s">
        <v>9</v>
      </c>
      <c r="C2" s="4" t="s">
        <v>10</v>
      </c>
      <c r="D2" s="3" t="s">
        <v>11</v>
      </c>
      <c r="E2" s="3" t="s">
        <v>12</v>
      </c>
      <c r="F2" s="3" t="s">
        <v>13</v>
      </c>
      <c r="G2" s="5" t="s">
        <v>14</v>
      </c>
      <c r="H2" s="6" t="s">
        <v>15</v>
      </c>
      <c r="I2" s="3" t="s">
        <v>16</v>
      </c>
    </row>
    <row r="3" customFormat="false" ht="23.25" hidden="false" customHeight="true" outlineLevel="0" collapsed="false">
      <c r="A3" s="7" t="n">
        <v>2</v>
      </c>
      <c r="B3" s="7" t="s">
        <v>9</v>
      </c>
      <c r="C3" s="8" t="s">
        <v>17</v>
      </c>
      <c r="D3" s="7" t="s">
        <v>11</v>
      </c>
      <c r="E3" s="7" t="s">
        <v>18</v>
      </c>
      <c r="F3" s="9" t="s">
        <v>19</v>
      </c>
      <c r="G3" s="5" t="s">
        <v>14</v>
      </c>
      <c r="H3" s="10" t="s">
        <v>15</v>
      </c>
      <c r="I3" s="7" t="s">
        <v>20</v>
      </c>
    </row>
    <row r="4" customFormat="false" ht="23.25" hidden="false" customHeight="true" outlineLevel="0" collapsed="false">
      <c r="A4" s="3" t="n">
        <v>3</v>
      </c>
      <c r="B4" s="3" t="s">
        <v>9</v>
      </c>
      <c r="C4" s="4" t="s">
        <v>21</v>
      </c>
      <c r="D4" s="3" t="s">
        <v>11</v>
      </c>
      <c r="E4" s="3" t="s">
        <v>22</v>
      </c>
      <c r="F4" s="3" t="s">
        <v>23</v>
      </c>
      <c r="G4" s="5" t="s">
        <v>14</v>
      </c>
      <c r="H4" s="6" t="s">
        <v>15</v>
      </c>
      <c r="I4" s="3" t="s">
        <v>24</v>
      </c>
    </row>
    <row r="5" customFormat="false" ht="23.25" hidden="false" customHeight="true" outlineLevel="0" collapsed="false">
      <c r="A5" s="7" t="n">
        <v>4</v>
      </c>
      <c r="B5" s="7" t="s">
        <v>9</v>
      </c>
      <c r="C5" s="8" t="s">
        <v>25</v>
      </c>
      <c r="D5" s="7" t="s">
        <v>11</v>
      </c>
      <c r="E5" s="7" t="s">
        <v>26</v>
      </c>
      <c r="F5" s="7" t="s">
        <v>27</v>
      </c>
      <c r="G5" s="5" t="s">
        <v>14</v>
      </c>
      <c r="H5" s="10" t="s">
        <v>28</v>
      </c>
      <c r="I5" s="7" t="s">
        <v>29</v>
      </c>
    </row>
    <row r="6" customFormat="false" ht="23.25" hidden="false" customHeight="true" outlineLevel="0" collapsed="false">
      <c r="A6" s="3" t="n">
        <v>5</v>
      </c>
      <c r="B6" s="3" t="s">
        <v>9</v>
      </c>
      <c r="C6" s="4" t="s">
        <v>30</v>
      </c>
      <c r="D6" s="3" t="s">
        <v>31</v>
      </c>
      <c r="E6" s="3" t="s">
        <v>32</v>
      </c>
      <c r="F6" s="3" t="s">
        <v>33</v>
      </c>
      <c r="G6" s="5" t="s">
        <v>14</v>
      </c>
      <c r="H6" s="6" t="s">
        <v>28</v>
      </c>
      <c r="I6" s="3" t="s">
        <v>34</v>
      </c>
    </row>
    <row r="7" customFormat="false" ht="23.25" hidden="false" customHeight="true" outlineLevel="0" collapsed="false">
      <c r="A7" s="7" t="n">
        <v>6</v>
      </c>
      <c r="B7" s="7" t="s">
        <v>9</v>
      </c>
      <c r="C7" s="8" t="s">
        <v>35</v>
      </c>
      <c r="D7" s="7" t="s">
        <v>11</v>
      </c>
      <c r="E7" s="7" t="s">
        <v>36</v>
      </c>
      <c r="F7" s="7" t="s">
        <v>37</v>
      </c>
      <c r="G7" s="5" t="s">
        <v>14</v>
      </c>
      <c r="H7" s="10" t="s">
        <v>38</v>
      </c>
      <c r="I7" s="7" t="s">
        <v>39</v>
      </c>
    </row>
    <row r="8" customFormat="false" ht="12.75" hidden="false" customHeight="true" outlineLevel="0" collapsed="false">
      <c r="A8" s="3" t="n">
        <v>7</v>
      </c>
      <c r="B8" s="3" t="s">
        <v>9</v>
      </c>
      <c r="C8" s="4" t="s">
        <v>40</v>
      </c>
      <c r="D8" s="3" t="s">
        <v>11</v>
      </c>
      <c r="E8" s="3" t="s">
        <v>41</v>
      </c>
      <c r="F8" s="3" t="s">
        <v>42</v>
      </c>
      <c r="G8" s="5" t="s">
        <v>14</v>
      </c>
      <c r="H8" s="6" t="s">
        <v>28</v>
      </c>
      <c r="I8" s="3" t="s">
        <v>43</v>
      </c>
    </row>
    <row r="9" customFormat="false" ht="23.25" hidden="false" customHeight="true" outlineLevel="0" collapsed="false">
      <c r="A9" s="7" t="n">
        <v>8</v>
      </c>
      <c r="B9" s="7" t="s">
        <v>9</v>
      </c>
      <c r="C9" s="8" t="s">
        <v>44</v>
      </c>
      <c r="D9" s="7" t="s">
        <v>45</v>
      </c>
      <c r="E9" s="7" t="s">
        <v>46</v>
      </c>
      <c r="F9" s="7" t="s">
        <v>47</v>
      </c>
      <c r="G9" s="5" t="s">
        <v>14</v>
      </c>
      <c r="H9" s="10" t="s">
        <v>48</v>
      </c>
      <c r="I9" s="7" t="s">
        <v>49</v>
      </c>
    </row>
    <row r="10" customFormat="false" ht="23.25" hidden="false" customHeight="true" outlineLevel="0" collapsed="false">
      <c r="A10" s="3" t="n">
        <v>9</v>
      </c>
      <c r="B10" s="3" t="s">
        <v>9</v>
      </c>
      <c r="C10" s="4" t="s">
        <v>50</v>
      </c>
      <c r="D10" s="3" t="s">
        <v>11</v>
      </c>
      <c r="E10" s="3" t="s">
        <v>51</v>
      </c>
      <c r="F10" s="3" t="s">
        <v>52</v>
      </c>
      <c r="G10" s="5" t="s">
        <v>14</v>
      </c>
      <c r="H10" s="6" t="s">
        <v>53</v>
      </c>
      <c r="I10" s="3" t="s">
        <v>54</v>
      </c>
    </row>
    <row r="11" customFormat="false" ht="23.25" hidden="false" customHeight="true" outlineLevel="0" collapsed="false">
      <c r="A11" s="7" t="n">
        <v>10</v>
      </c>
      <c r="B11" s="7" t="s">
        <v>9</v>
      </c>
      <c r="C11" s="8" t="s">
        <v>55</v>
      </c>
      <c r="D11" s="7" t="s">
        <v>31</v>
      </c>
      <c r="E11" s="7" t="s">
        <v>56</v>
      </c>
      <c r="F11" s="7" t="s">
        <v>57</v>
      </c>
      <c r="G11" s="5" t="s">
        <v>14</v>
      </c>
      <c r="H11" s="10" t="s">
        <v>58</v>
      </c>
      <c r="I11" s="7" t="s">
        <v>59</v>
      </c>
    </row>
    <row r="12" customFormat="false" ht="23.25" hidden="false" customHeight="true" outlineLevel="0" collapsed="false">
      <c r="A12" s="3" t="n">
        <v>11</v>
      </c>
      <c r="B12" s="3" t="s">
        <v>9</v>
      </c>
      <c r="C12" s="4" t="s">
        <v>60</v>
      </c>
      <c r="D12" s="3" t="s">
        <v>45</v>
      </c>
      <c r="E12" s="3" t="s">
        <v>61</v>
      </c>
      <c r="F12" s="3" t="s">
        <v>62</v>
      </c>
      <c r="G12" s="5" t="s">
        <v>14</v>
      </c>
      <c r="H12" s="6" t="s">
        <v>58</v>
      </c>
      <c r="I12" s="3" t="s">
        <v>63</v>
      </c>
    </row>
    <row r="13" customFormat="false" ht="23.25" hidden="false" customHeight="true" outlineLevel="0" collapsed="false">
      <c r="A13" s="7" t="n">
        <v>12</v>
      </c>
      <c r="B13" s="7" t="s">
        <v>9</v>
      </c>
      <c r="C13" s="8" t="s">
        <v>64</v>
      </c>
      <c r="D13" s="7" t="s">
        <v>45</v>
      </c>
      <c r="E13" s="7" t="s">
        <v>65</v>
      </c>
      <c r="F13" s="7" t="s">
        <v>66</v>
      </c>
      <c r="G13" s="11" t="s">
        <v>67</v>
      </c>
      <c r="H13" s="10" t="s">
        <v>68</v>
      </c>
      <c r="I13" s="7" t="s">
        <v>69</v>
      </c>
    </row>
    <row r="14" customFormat="false" ht="23.25" hidden="false" customHeight="true" outlineLevel="0" collapsed="false">
      <c r="A14" s="3" t="n">
        <v>13</v>
      </c>
      <c r="B14" s="3" t="s">
        <v>9</v>
      </c>
      <c r="C14" s="4" t="s">
        <v>70</v>
      </c>
      <c r="D14" s="3" t="s">
        <v>11</v>
      </c>
      <c r="E14" s="3" t="s">
        <v>71</v>
      </c>
      <c r="F14" s="3" t="s">
        <v>72</v>
      </c>
      <c r="G14" s="5" t="s">
        <v>14</v>
      </c>
      <c r="H14" s="6" t="s">
        <v>58</v>
      </c>
      <c r="I14" s="3" t="s">
        <v>73</v>
      </c>
    </row>
    <row r="15" customFormat="false" ht="23.25" hidden="false" customHeight="true" outlineLevel="0" collapsed="false">
      <c r="A15" s="7" t="n">
        <v>14</v>
      </c>
      <c r="B15" s="7" t="s">
        <v>9</v>
      </c>
      <c r="C15" s="8" t="s">
        <v>74</v>
      </c>
      <c r="D15" s="7" t="s">
        <v>11</v>
      </c>
      <c r="E15" s="7" t="s">
        <v>75</v>
      </c>
      <c r="F15" s="7" t="s">
        <v>76</v>
      </c>
      <c r="G15" s="5" t="s">
        <v>14</v>
      </c>
      <c r="H15" s="10" t="s">
        <v>15</v>
      </c>
      <c r="I15" s="7" t="s">
        <v>77</v>
      </c>
    </row>
    <row r="16" customFormat="false" ht="23.25" hidden="false" customHeight="true" outlineLevel="0" collapsed="false">
      <c r="A16" s="3" t="n">
        <v>15</v>
      </c>
      <c r="B16" s="3" t="s">
        <v>9</v>
      </c>
      <c r="C16" s="4" t="s">
        <v>78</v>
      </c>
      <c r="D16" s="3" t="s">
        <v>11</v>
      </c>
      <c r="E16" s="3" t="s">
        <v>79</v>
      </c>
      <c r="F16" s="3" t="s">
        <v>80</v>
      </c>
      <c r="G16" s="5" t="s">
        <v>14</v>
      </c>
      <c r="H16" s="6" t="s">
        <v>15</v>
      </c>
      <c r="I16" s="3" t="s">
        <v>81</v>
      </c>
    </row>
    <row r="17" customFormat="false" ht="23.25" hidden="false" customHeight="true" outlineLevel="0" collapsed="false">
      <c r="A17" s="7" t="n">
        <v>16</v>
      </c>
      <c r="B17" s="7" t="s">
        <v>9</v>
      </c>
      <c r="C17" s="8" t="s">
        <v>82</v>
      </c>
      <c r="D17" s="7" t="s">
        <v>45</v>
      </c>
      <c r="E17" s="7" t="s">
        <v>83</v>
      </c>
      <c r="F17" s="7" t="s">
        <v>84</v>
      </c>
      <c r="G17" s="5" t="s">
        <v>14</v>
      </c>
      <c r="H17" s="10" t="s">
        <v>15</v>
      </c>
      <c r="I17" s="7" t="s">
        <v>85</v>
      </c>
    </row>
    <row r="18" customFormat="false" ht="23.25" hidden="false" customHeight="true" outlineLevel="0" collapsed="false">
      <c r="A18" s="3" t="n">
        <v>17</v>
      </c>
      <c r="B18" s="3" t="s">
        <v>9</v>
      </c>
      <c r="C18" s="4" t="s">
        <v>86</v>
      </c>
      <c r="D18" s="3" t="s">
        <v>11</v>
      </c>
      <c r="E18" s="3" t="s">
        <v>87</v>
      </c>
      <c r="F18" s="3" t="s">
        <v>88</v>
      </c>
      <c r="G18" s="5" t="s">
        <v>14</v>
      </c>
      <c r="H18" s="6" t="s">
        <v>15</v>
      </c>
      <c r="I18" s="3" t="s">
        <v>89</v>
      </c>
    </row>
    <row r="19" customFormat="false" ht="23.25" hidden="false" customHeight="true" outlineLevel="0" collapsed="false">
      <c r="A19" s="7" t="n">
        <v>18</v>
      </c>
      <c r="B19" s="7" t="s">
        <v>9</v>
      </c>
      <c r="C19" s="8" t="s">
        <v>90</v>
      </c>
      <c r="D19" s="7" t="s">
        <v>45</v>
      </c>
      <c r="E19" s="7" t="s">
        <v>91</v>
      </c>
      <c r="F19" s="7" t="s">
        <v>92</v>
      </c>
      <c r="G19" s="5" t="s">
        <v>14</v>
      </c>
      <c r="H19" s="10" t="s">
        <v>15</v>
      </c>
      <c r="I19" s="7" t="s">
        <v>93</v>
      </c>
    </row>
    <row r="20" customFormat="false" ht="23.25" hidden="false" customHeight="true" outlineLevel="0" collapsed="false">
      <c r="A20" s="3" t="n">
        <v>19</v>
      </c>
      <c r="B20" s="3" t="s">
        <v>9</v>
      </c>
      <c r="C20" s="4" t="s">
        <v>94</v>
      </c>
      <c r="D20" s="3" t="s">
        <v>45</v>
      </c>
      <c r="E20" s="3" t="s">
        <v>95</v>
      </c>
      <c r="F20" s="3" t="s">
        <v>96</v>
      </c>
      <c r="G20" s="5" t="s">
        <v>14</v>
      </c>
      <c r="H20" s="6" t="s">
        <v>97</v>
      </c>
      <c r="I20" s="3" t="s">
        <v>98</v>
      </c>
    </row>
    <row r="21" customFormat="false" ht="23.25" hidden="false" customHeight="true" outlineLevel="0" collapsed="false">
      <c r="A21" s="7" t="n">
        <v>20</v>
      </c>
      <c r="B21" s="7" t="s">
        <v>9</v>
      </c>
      <c r="C21" s="8" t="s">
        <v>99</v>
      </c>
      <c r="D21" s="7" t="s">
        <v>45</v>
      </c>
      <c r="E21" s="7" t="s">
        <v>100</v>
      </c>
      <c r="F21" s="7" t="s">
        <v>101</v>
      </c>
      <c r="G21" s="12" t="s">
        <v>102</v>
      </c>
      <c r="H21" s="10" t="s">
        <v>103</v>
      </c>
      <c r="I21" s="7" t="s">
        <v>104</v>
      </c>
    </row>
    <row r="22" customFormat="false" ht="12.75" hidden="false" customHeight="true" outlineLevel="0" collapsed="false">
      <c r="A22" s="3" t="n">
        <v>21</v>
      </c>
      <c r="B22" s="3" t="s">
        <v>9</v>
      </c>
      <c r="C22" s="4" t="s">
        <v>105</v>
      </c>
      <c r="D22" s="3" t="s">
        <v>11</v>
      </c>
      <c r="E22" s="3" t="s">
        <v>106</v>
      </c>
      <c r="F22" s="3" t="s">
        <v>107</v>
      </c>
      <c r="G22" s="5" t="s">
        <v>14</v>
      </c>
      <c r="H22" s="6" t="s">
        <v>68</v>
      </c>
      <c r="I22" s="3" t="s">
        <v>108</v>
      </c>
    </row>
    <row r="23" customFormat="false" ht="23.25" hidden="false" customHeight="true" outlineLevel="0" collapsed="false">
      <c r="A23" s="7" t="n">
        <v>22</v>
      </c>
      <c r="B23" s="7" t="s">
        <v>9</v>
      </c>
      <c r="C23" s="8" t="s">
        <v>109</v>
      </c>
      <c r="D23" s="7" t="s">
        <v>11</v>
      </c>
      <c r="E23" s="7" t="s">
        <v>110</v>
      </c>
      <c r="F23" s="7" t="s">
        <v>111</v>
      </c>
      <c r="G23" s="12" t="s">
        <v>112</v>
      </c>
      <c r="H23" s="10" t="s">
        <v>68</v>
      </c>
      <c r="I23" s="7" t="s">
        <v>113</v>
      </c>
    </row>
    <row r="24" customFormat="false" ht="23.25" hidden="false" customHeight="true" outlineLevel="0" collapsed="false">
      <c r="A24" s="3" t="n">
        <v>23</v>
      </c>
      <c r="B24" s="3" t="s">
        <v>9</v>
      </c>
      <c r="C24" s="4" t="s">
        <v>114</v>
      </c>
      <c r="D24" s="3" t="s">
        <v>45</v>
      </c>
      <c r="E24" s="3" t="s">
        <v>115</v>
      </c>
      <c r="F24" s="3" t="s">
        <v>116</v>
      </c>
      <c r="G24" s="12" t="s">
        <v>117</v>
      </c>
      <c r="H24" s="6" t="s">
        <v>68</v>
      </c>
      <c r="I24" s="3" t="s">
        <v>118</v>
      </c>
    </row>
    <row r="25" customFormat="false" ht="23.25" hidden="false" customHeight="true" outlineLevel="0" collapsed="false">
      <c r="A25" s="7" t="n">
        <v>24</v>
      </c>
      <c r="B25" s="7" t="s">
        <v>119</v>
      </c>
      <c r="C25" s="8" t="s">
        <v>120</v>
      </c>
      <c r="D25" s="7" t="s">
        <v>31</v>
      </c>
      <c r="E25" s="7" t="s">
        <v>121</v>
      </c>
      <c r="F25" s="7" t="s">
        <v>122</v>
      </c>
      <c r="G25" s="5" t="s">
        <v>14</v>
      </c>
      <c r="H25" s="10" t="s">
        <v>28</v>
      </c>
      <c r="I25" s="7" t="s">
        <v>123</v>
      </c>
    </row>
    <row r="26" customFormat="false" ht="23.25" hidden="false" customHeight="true" outlineLevel="0" collapsed="false">
      <c r="A26" s="3" t="n">
        <v>25</v>
      </c>
      <c r="B26" s="3" t="s">
        <v>119</v>
      </c>
      <c r="C26" s="4" t="s">
        <v>124</v>
      </c>
      <c r="D26" s="3" t="s">
        <v>31</v>
      </c>
      <c r="E26" s="3" t="s">
        <v>125</v>
      </c>
      <c r="F26" s="3" t="s">
        <v>126</v>
      </c>
      <c r="G26" s="5" t="s">
        <v>14</v>
      </c>
      <c r="H26" s="6" t="s">
        <v>28</v>
      </c>
      <c r="I26" s="3" t="s">
        <v>127</v>
      </c>
    </row>
    <row r="27" customFormat="false" ht="23.25" hidden="false" customHeight="true" outlineLevel="0" collapsed="false">
      <c r="A27" s="7" t="n">
        <v>26</v>
      </c>
      <c r="B27" s="7" t="s">
        <v>119</v>
      </c>
      <c r="C27" s="8" t="s">
        <v>128</v>
      </c>
      <c r="D27" s="7" t="s">
        <v>31</v>
      </c>
      <c r="E27" s="7" t="s">
        <v>129</v>
      </c>
      <c r="F27" s="7" t="s">
        <v>130</v>
      </c>
      <c r="G27" s="5" t="s">
        <v>14</v>
      </c>
      <c r="H27" s="10" t="s">
        <v>28</v>
      </c>
      <c r="I27" s="7" t="s">
        <v>131</v>
      </c>
    </row>
    <row r="28" customFormat="false" ht="23.25" hidden="false" customHeight="true" outlineLevel="0" collapsed="false">
      <c r="A28" s="3" t="n">
        <v>27</v>
      </c>
      <c r="B28" s="3" t="s">
        <v>119</v>
      </c>
      <c r="C28" s="4" t="s">
        <v>132</v>
      </c>
      <c r="D28" s="3" t="s">
        <v>31</v>
      </c>
      <c r="E28" s="3" t="s">
        <v>133</v>
      </c>
      <c r="F28" s="3" t="s">
        <v>134</v>
      </c>
      <c r="G28" s="5" t="s">
        <v>14</v>
      </c>
      <c r="H28" s="6" t="s">
        <v>58</v>
      </c>
      <c r="I28" s="3" t="s">
        <v>135</v>
      </c>
    </row>
    <row r="29" customFormat="false" ht="23.25" hidden="false" customHeight="true" outlineLevel="0" collapsed="false">
      <c r="A29" s="7" t="n">
        <v>28</v>
      </c>
      <c r="B29" s="7" t="s">
        <v>119</v>
      </c>
      <c r="C29" s="8" t="s">
        <v>136</v>
      </c>
      <c r="D29" s="7" t="s">
        <v>31</v>
      </c>
      <c r="E29" s="7" t="s">
        <v>137</v>
      </c>
      <c r="F29" s="7" t="s">
        <v>138</v>
      </c>
      <c r="G29" s="5" t="s">
        <v>14</v>
      </c>
      <c r="H29" s="10" t="s">
        <v>139</v>
      </c>
      <c r="I29" s="7" t="s">
        <v>140</v>
      </c>
    </row>
    <row r="30" customFormat="false" ht="23.25" hidden="false" customHeight="true" outlineLevel="0" collapsed="false">
      <c r="A30" s="3" t="n">
        <v>29</v>
      </c>
      <c r="B30" s="3" t="s">
        <v>119</v>
      </c>
      <c r="C30" s="4" t="s">
        <v>141</v>
      </c>
      <c r="D30" s="3" t="s">
        <v>31</v>
      </c>
      <c r="E30" s="3" t="s">
        <v>142</v>
      </c>
      <c r="F30" s="3" t="s">
        <v>143</v>
      </c>
      <c r="G30" s="5" t="s">
        <v>14</v>
      </c>
      <c r="H30" s="6" t="s">
        <v>139</v>
      </c>
      <c r="I30" s="3" t="s">
        <v>140</v>
      </c>
    </row>
    <row r="31" customFormat="false" ht="23.25" hidden="false" customHeight="true" outlineLevel="0" collapsed="false">
      <c r="A31" s="7" t="n">
        <v>30</v>
      </c>
      <c r="B31" s="7" t="s">
        <v>119</v>
      </c>
      <c r="C31" s="8" t="s">
        <v>144</v>
      </c>
      <c r="D31" s="7" t="s">
        <v>11</v>
      </c>
      <c r="E31" s="7" t="s">
        <v>145</v>
      </c>
      <c r="F31" s="7" t="s">
        <v>146</v>
      </c>
      <c r="G31" s="5" t="s">
        <v>14</v>
      </c>
      <c r="H31" s="10" t="s">
        <v>139</v>
      </c>
      <c r="I31" s="7" t="s">
        <v>147</v>
      </c>
    </row>
    <row r="32" customFormat="false" ht="23.25" hidden="false" customHeight="true" outlineLevel="0" collapsed="false">
      <c r="A32" s="3" t="n">
        <v>31</v>
      </c>
      <c r="B32" s="3" t="s">
        <v>119</v>
      </c>
      <c r="C32" s="4" t="s">
        <v>148</v>
      </c>
      <c r="D32" s="3" t="s">
        <v>11</v>
      </c>
      <c r="E32" s="3" t="s">
        <v>149</v>
      </c>
      <c r="F32" s="3" t="s">
        <v>150</v>
      </c>
      <c r="G32" s="5" t="s">
        <v>14</v>
      </c>
      <c r="H32" s="6" t="s">
        <v>139</v>
      </c>
      <c r="I32" s="3" t="s">
        <v>151</v>
      </c>
    </row>
    <row r="33" customFormat="false" ht="23.25" hidden="false" customHeight="true" outlineLevel="0" collapsed="false">
      <c r="A33" s="7" t="n">
        <v>32</v>
      </c>
      <c r="B33" s="7" t="s">
        <v>119</v>
      </c>
      <c r="C33" s="8" t="s">
        <v>152</v>
      </c>
      <c r="D33" s="7" t="s">
        <v>11</v>
      </c>
      <c r="E33" s="7" t="s">
        <v>153</v>
      </c>
      <c r="F33" s="7" t="s">
        <v>154</v>
      </c>
      <c r="G33" s="5" t="s">
        <v>14</v>
      </c>
      <c r="H33" s="10" t="s">
        <v>155</v>
      </c>
      <c r="I33" s="7" t="s">
        <v>151</v>
      </c>
    </row>
    <row r="34" customFormat="false" ht="23.25" hidden="false" customHeight="true" outlineLevel="0" collapsed="false">
      <c r="A34" s="3" t="n">
        <v>33</v>
      </c>
      <c r="B34" s="3" t="s">
        <v>119</v>
      </c>
      <c r="C34" s="4" t="s">
        <v>156</v>
      </c>
      <c r="D34" s="3" t="s">
        <v>11</v>
      </c>
      <c r="E34" s="3" t="s">
        <v>157</v>
      </c>
      <c r="F34" s="3" t="s">
        <v>158</v>
      </c>
      <c r="G34" s="5" t="s">
        <v>14</v>
      </c>
      <c r="H34" s="6" t="s">
        <v>28</v>
      </c>
      <c r="I34" s="3" t="s">
        <v>159</v>
      </c>
    </row>
    <row r="35" customFormat="false" ht="23.25" hidden="false" customHeight="true" outlineLevel="0" collapsed="false">
      <c r="A35" s="7" t="n">
        <v>34</v>
      </c>
      <c r="B35" s="7" t="s">
        <v>119</v>
      </c>
      <c r="C35" s="8" t="s">
        <v>160</v>
      </c>
      <c r="D35" s="7" t="s">
        <v>11</v>
      </c>
      <c r="E35" s="7" t="s">
        <v>161</v>
      </c>
      <c r="F35" s="7" t="s">
        <v>162</v>
      </c>
      <c r="G35" s="5" t="s">
        <v>14</v>
      </c>
      <c r="H35" s="10" t="s">
        <v>28</v>
      </c>
      <c r="I35" s="7" t="s">
        <v>163</v>
      </c>
    </row>
    <row r="36" customFormat="false" ht="23.25" hidden="false" customHeight="true" outlineLevel="0" collapsed="false">
      <c r="A36" s="3" t="n">
        <v>35</v>
      </c>
      <c r="B36" s="3" t="s">
        <v>119</v>
      </c>
      <c r="C36" s="4" t="s">
        <v>164</v>
      </c>
      <c r="D36" s="3" t="s">
        <v>11</v>
      </c>
      <c r="E36" s="3" t="s">
        <v>165</v>
      </c>
      <c r="F36" s="3" t="s">
        <v>166</v>
      </c>
      <c r="G36" s="5" t="s">
        <v>14</v>
      </c>
      <c r="H36" s="6" t="s">
        <v>167</v>
      </c>
      <c r="I36" s="3" t="s">
        <v>168</v>
      </c>
    </row>
    <row r="37" customFormat="false" ht="23.25" hidden="false" customHeight="true" outlineLevel="0" collapsed="false">
      <c r="A37" s="7" t="n">
        <v>36</v>
      </c>
      <c r="B37" s="7" t="s">
        <v>119</v>
      </c>
      <c r="C37" s="8" t="s">
        <v>169</v>
      </c>
      <c r="D37" s="7" t="s">
        <v>11</v>
      </c>
      <c r="E37" s="7" t="s">
        <v>170</v>
      </c>
      <c r="F37" s="7" t="s">
        <v>171</v>
      </c>
      <c r="G37" s="5" t="s">
        <v>14</v>
      </c>
      <c r="H37" s="10" t="s">
        <v>167</v>
      </c>
      <c r="I37" s="7" t="s">
        <v>172</v>
      </c>
    </row>
    <row r="38" customFormat="false" ht="23.25" hidden="false" customHeight="true" outlineLevel="0" collapsed="false">
      <c r="A38" s="3" t="n">
        <v>37</v>
      </c>
      <c r="B38" s="3" t="s">
        <v>119</v>
      </c>
      <c r="C38" s="4" t="s">
        <v>173</v>
      </c>
      <c r="D38" s="3" t="s">
        <v>45</v>
      </c>
      <c r="E38" s="3" t="s">
        <v>174</v>
      </c>
      <c r="F38" s="3" t="s">
        <v>175</v>
      </c>
      <c r="G38" s="5" t="s">
        <v>14</v>
      </c>
      <c r="H38" s="6" t="s">
        <v>167</v>
      </c>
      <c r="I38" s="3" t="s">
        <v>176</v>
      </c>
    </row>
    <row r="39" customFormat="false" ht="23.25" hidden="false" customHeight="true" outlineLevel="0" collapsed="false">
      <c r="A39" s="7" t="n">
        <v>38</v>
      </c>
      <c r="B39" s="7" t="s">
        <v>119</v>
      </c>
      <c r="C39" s="8" t="s">
        <v>177</v>
      </c>
      <c r="D39" s="7" t="s">
        <v>11</v>
      </c>
      <c r="E39" s="7" t="s">
        <v>178</v>
      </c>
      <c r="F39" s="7" t="s">
        <v>179</v>
      </c>
      <c r="G39" s="5" t="s">
        <v>14</v>
      </c>
      <c r="H39" s="10" t="s">
        <v>53</v>
      </c>
      <c r="I39" s="7" t="s">
        <v>180</v>
      </c>
    </row>
    <row r="40" customFormat="false" ht="23.25" hidden="false" customHeight="true" outlineLevel="0" collapsed="false">
      <c r="A40" s="3" t="n">
        <v>39</v>
      </c>
      <c r="B40" s="3" t="s">
        <v>119</v>
      </c>
      <c r="C40" s="4" t="s">
        <v>181</v>
      </c>
      <c r="D40" s="3" t="s">
        <v>11</v>
      </c>
      <c r="E40" s="3" t="s">
        <v>182</v>
      </c>
      <c r="F40" s="3" t="s">
        <v>183</v>
      </c>
      <c r="G40" s="5" t="s">
        <v>14</v>
      </c>
      <c r="H40" s="6" t="s">
        <v>184</v>
      </c>
      <c r="I40" s="3" t="s">
        <v>185</v>
      </c>
    </row>
    <row r="41" customFormat="false" ht="23.25" hidden="false" customHeight="true" outlineLevel="0" collapsed="false">
      <c r="A41" s="7" t="n">
        <v>40</v>
      </c>
      <c r="B41" s="7" t="s">
        <v>119</v>
      </c>
      <c r="C41" s="8" t="s">
        <v>186</v>
      </c>
      <c r="D41" s="7" t="s">
        <v>45</v>
      </c>
      <c r="E41" s="7" t="s">
        <v>187</v>
      </c>
      <c r="F41" s="7" t="s">
        <v>188</v>
      </c>
      <c r="G41" s="5" t="s">
        <v>14</v>
      </c>
      <c r="H41" s="10" t="s">
        <v>15</v>
      </c>
      <c r="I41" s="7" t="s">
        <v>189</v>
      </c>
    </row>
    <row r="42" customFormat="false" ht="23.25" hidden="false" customHeight="true" outlineLevel="0" collapsed="false">
      <c r="A42" s="3" t="n">
        <v>41</v>
      </c>
      <c r="B42" s="3" t="s">
        <v>119</v>
      </c>
      <c r="C42" s="4" t="s">
        <v>190</v>
      </c>
      <c r="D42" s="3" t="s">
        <v>45</v>
      </c>
      <c r="E42" s="3" t="s">
        <v>191</v>
      </c>
      <c r="F42" s="3" t="s">
        <v>192</v>
      </c>
      <c r="G42" s="5" t="s">
        <v>14</v>
      </c>
      <c r="H42" s="6" t="s">
        <v>15</v>
      </c>
      <c r="I42" s="3" t="s">
        <v>193</v>
      </c>
    </row>
    <row r="43" customFormat="false" ht="23.25" hidden="false" customHeight="true" outlineLevel="0" collapsed="false">
      <c r="A43" s="7" t="n">
        <v>42</v>
      </c>
      <c r="B43" s="7" t="s">
        <v>119</v>
      </c>
      <c r="C43" s="8" t="s">
        <v>194</v>
      </c>
      <c r="D43" s="7" t="s">
        <v>45</v>
      </c>
      <c r="E43" s="7" t="s">
        <v>195</v>
      </c>
      <c r="F43" s="7" t="s">
        <v>196</v>
      </c>
      <c r="G43" s="5" t="s">
        <v>14</v>
      </c>
      <c r="H43" s="10" t="s">
        <v>28</v>
      </c>
      <c r="I43" s="7" t="s">
        <v>197</v>
      </c>
    </row>
    <row r="44" customFormat="false" ht="23.25" hidden="false" customHeight="true" outlineLevel="0" collapsed="false">
      <c r="A44" s="3" t="n">
        <v>43</v>
      </c>
      <c r="B44" s="3" t="s">
        <v>119</v>
      </c>
      <c r="C44" s="4" t="s">
        <v>198</v>
      </c>
      <c r="D44" s="3" t="s">
        <v>45</v>
      </c>
      <c r="E44" s="3" t="s">
        <v>199</v>
      </c>
      <c r="F44" s="3" t="s">
        <v>200</v>
      </c>
      <c r="G44" s="5" t="s">
        <v>14</v>
      </c>
      <c r="H44" s="6" t="s">
        <v>184</v>
      </c>
      <c r="I44" s="3" t="s">
        <v>172</v>
      </c>
    </row>
    <row r="45" customFormat="false" ht="23.25" hidden="false" customHeight="true" outlineLevel="0" collapsed="false">
      <c r="A45" s="7" t="n">
        <v>44</v>
      </c>
      <c r="B45" s="7" t="s">
        <v>119</v>
      </c>
      <c r="C45" s="8" t="s">
        <v>201</v>
      </c>
      <c r="D45" s="7" t="s">
        <v>202</v>
      </c>
      <c r="E45" s="7" t="s">
        <v>203</v>
      </c>
      <c r="F45" s="7" t="s">
        <v>204</v>
      </c>
      <c r="G45" s="11" t="s">
        <v>67</v>
      </c>
      <c r="H45" s="10" t="s">
        <v>184</v>
      </c>
      <c r="I45" s="7" t="s">
        <v>205</v>
      </c>
    </row>
    <row r="46" customFormat="false" ht="23.25" hidden="false" customHeight="true" outlineLevel="0" collapsed="false">
      <c r="A46" s="3" t="n">
        <v>45</v>
      </c>
      <c r="B46" s="3" t="s">
        <v>119</v>
      </c>
      <c r="C46" s="4" t="s">
        <v>206</v>
      </c>
      <c r="D46" s="3" t="s">
        <v>202</v>
      </c>
      <c r="E46" s="3" t="s">
        <v>207</v>
      </c>
      <c r="F46" s="3" t="s">
        <v>208</v>
      </c>
      <c r="G46" s="11" t="s">
        <v>67</v>
      </c>
      <c r="H46" s="6" t="s">
        <v>68</v>
      </c>
      <c r="I46" s="3" t="s">
        <v>209</v>
      </c>
    </row>
    <row r="47" customFormat="false" ht="23.25" hidden="false" customHeight="true" outlineLevel="0" collapsed="false">
      <c r="A47" s="7" t="n">
        <v>46</v>
      </c>
      <c r="B47" s="7" t="s">
        <v>119</v>
      </c>
      <c r="C47" s="8" t="s">
        <v>210</v>
      </c>
      <c r="D47" s="7" t="s">
        <v>45</v>
      </c>
      <c r="E47" s="7" t="s">
        <v>211</v>
      </c>
      <c r="F47" s="7" t="s">
        <v>212</v>
      </c>
      <c r="G47" s="13" t="s">
        <v>102</v>
      </c>
      <c r="H47" s="10" t="s">
        <v>213</v>
      </c>
      <c r="I47" s="7" t="s">
        <v>214</v>
      </c>
    </row>
    <row r="48" customFormat="false" ht="23.25" hidden="false" customHeight="true" outlineLevel="0" collapsed="false">
      <c r="A48" s="3" t="n">
        <v>47</v>
      </c>
      <c r="B48" s="3" t="s">
        <v>119</v>
      </c>
      <c r="C48" s="4" t="s">
        <v>215</v>
      </c>
      <c r="D48" s="3" t="s">
        <v>45</v>
      </c>
      <c r="E48" s="3" t="s">
        <v>216</v>
      </c>
      <c r="F48" s="3" t="s">
        <v>217</v>
      </c>
      <c r="G48" s="12" t="s">
        <v>218</v>
      </c>
      <c r="H48" s="6" t="s">
        <v>68</v>
      </c>
      <c r="I48" s="3" t="s">
        <v>219</v>
      </c>
    </row>
    <row r="49" customFormat="false" ht="23.25" hidden="false" customHeight="true" outlineLevel="0" collapsed="false">
      <c r="A49" s="7" t="n">
        <v>48</v>
      </c>
      <c r="B49" s="7" t="s">
        <v>119</v>
      </c>
      <c r="C49" s="8" t="s">
        <v>220</v>
      </c>
      <c r="D49" s="7" t="s">
        <v>45</v>
      </c>
      <c r="E49" s="7" t="s">
        <v>221</v>
      </c>
      <c r="F49" s="7" t="s">
        <v>222</v>
      </c>
      <c r="G49" s="12" t="s">
        <v>102</v>
      </c>
      <c r="H49" s="10" t="s">
        <v>223</v>
      </c>
      <c r="I49" s="7" t="s">
        <v>224</v>
      </c>
    </row>
    <row r="50" customFormat="false" ht="23.25" hidden="false" customHeight="true" outlineLevel="0" collapsed="false">
      <c r="A50" s="3" t="n">
        <v>49</v>
      </c>
      <c r="B50" s="3" t="s">
        <v>119</v>
      </c>
      <c r="C50" s="4" t="s">
        <v>225</v>
      </c>
      <c r="D50" s="3" t="s">
        <v>45</v>
      </c>
      <c r="E50" s="3" t="s">
        <v>226</v>
      </c>
      <c r="F50" s="3" t="s">
        <v>227</v>
      </c>
      <c r="G50" s="12" t="s">
        <v>228</v>
      </c>
      <c r="H50" s="6" t="s">
        <v>68</v>
      </c>
      <c r="I50" s="3" t="s">
        <v>229</v>
      </c>
    </row>
    <row r="51" customFormat="false" ht="23.25" hidden="false" customHeight="true" outlineLevel="0" collapsed="false">
      <c r="A51" s="7" t="n">
        <v>50</v>
      </c>
      <c r="B51" s="7" t="s">
        <v>230</v>
      </c>
      <c r="C51" s="8" t="s">
        <v>231</v>
      </c>
      <c r="D51" s="7" t="s">
        <v>45</v>
      </c>
      <c r="E51" s="7" t="s">
        <v>232</v>
      </c>
      <c r="F51" s="7" t="s">
        <v>233</v>
      </c>
      <c r="G51" s="5" t="s">
        <v>14</v>
      </c>
      <c r="H51" s="10" t="s">
        <v>234</v>
      </c>
      <c r="I51" s="7" t="s">
        <v>235</v>
      </c>
    </row>
    <row r="52" customFormat="false" ht="23.25" hidden="false" customHeight="true" outlineLevel="0" collapsed="false">
      <c r="A52" s="3" t="n">
        <v>51</v>
      </c>
      <c r="B52" s="3" t="s">
        <v>230</v>
      </c>
      <c r="C52" s="4" t="s">
        <v>236</v>
      </c>
      <c r="D52" s="3" t="s">
        <v>11</v>
      </c>
      <c r="E52" s="3" t="s">
        <v>237</v>
      </c>
      <c r="F52" s="3" t="s">
        <v>238</v>
      </c>
      <c r="G52" s="5" t="s">
        <v>14</v>
      </c>
      <c r="H52" s="6" t="s">
        <v>53</v>
      </c>
      <c r="I52" s="3" t="s">
        <v>239</v>
      </c>
    </row>
    <row r="53" customFormat="false" ht="23.25" hidden="false" customHeight="true" outlineLevel="0" collapsed="false">
      <c r="A53" s="7" t="n">
        <v>52</v>
      </c>
      <c r="B53" s="7" t="s">
        <v>230</v>
      </c>
      <c r="C53" s="8" t="s">
        <v>240</v>
      </c>
      <c r="D53" s="7" t="s">
        <v>11</v>
      </c>
      <c r="E53" s="7" t="s">
        <v>237</v>
      </c>
      <c r="F53" s="7" t="s">
        <v>241</v>
      </c>
      <c r="G53" s="5" t="s">
        <v>14</v>
      </c>
      <c r="H53" s="10" t="s">
        <v>53</v>
      </c>
      <c r="I53" s="7" t="s">
        <v>242</v>
      </c>
    </row>
    <row r="54" customFormat="false" ht="23.25" hidden="false" customHeight="true" outlineLevel="0" collapsed="false">
      <c r="A54" s="3" t="n">
        <v>53</v>
      </c>
      <c r="B54" s="3" t="s">
        <v>230</v>
      </c>
      <c r="C54" s="4" t="s">
        <v>243</v>
      </c>
      <c r="D54" s="3" t="s">
        <v>11</v>
      </c>
      <c r="E54" s="3" t="s">
        <v>244</v>
      </c>
      <c r="F54" s="3" t="s">
        <v>245</v>
      </c>
      <c r="G54" s="5" t="s">
        <v>14</v>
      </c>
      <c r="H54" s="6" t="s">
        <v>53</v>
      </c>
      <c r="I54" s="3" t="s">
        <v>246</v>
      </c>
    </row>
    <row r="55" customFormat="false" ht="23.25" hidden="false" customHeight="true" outlineLevel="0" collapsed="false">
      <c r="A55" s="7" t="n">
        <v>54</v>
      </c>
      <c r="B55" s="7" t="s">
        <v>230</v>
      </c>
      <c r="C55" s="8" t="s">
        <v>247</v>
      </c>
      <c r="D55" s="7" t="s">
        <v>11</v>
      </c>
      <c r="E55" s="7" t="s">
        <v>248</v>
      </c>
      <c r="F55" s="7" t="s">
        <v>249</v>
      </c>
      <c r="G55" s="13" t="s">
        <v>250</v>
      </c>
      <c r="H55" s="10" t="s">
        <v>213</v>
      </c>
      <c r="I55" s="7" t="s">
        <v>251</v>
      </c>
    </row>
    <row r="56" customFormat="false" ht="23.25" hidden="false" customHeight="true" outlineLevel="0" collapsed="false">
      <c r="A56" s="3" t="n">
        <v>55</v>
      </c>
      <c r="B56" s="3" t="s">
        <v>230</v>
      </c>
      <c r="C56" s="4" t="s">
        <v>252</v>
      </c>
      <c r="D56" s="3" t="s">
        <v>11</v>
      </c>
      <c r="E56" s="3" t="s">
        <v>253</v>
      </c>
      <c r="F56" s="3" t="s">
        <v>254</v>
      </c>
      <c r="G56" s="13" t="s">
        <v>255</v>
      </c>
      <c r="H56" s="6" t="s">
        <v>213</v>
      </c>
      <c r="I56" s="3" t="s">
        <v>256</v>
      </c>
    </row>
    <row r="57" customFormat="false" ht="23.25" hidden="false" customHeight="true" outlineLevel="0" collapsed="false">
      <c r="A57" s="7" t="n">
        <v>56</v>
      </c>
      <c r="B57" s="7" t="s">
        <v>230</v>
      </c>
      <c r="C57" s="8" t="s">
        <v>257</v>
      </c>
      <c r="D57" s="7" t="s">
        <v>11</v>
      </c>
      <c r="E57" s="7" t="s">
        <v>258</v>
      </c>
      <c r="F57" s="7" t="s">
        <v>259</v>
      </c>
      <c r="G57" s="5" t="s">
        <v>102</v>
      </c>
      <c r="H57" s="10" t="s">
        <v>213</v>
      </c>
      <c r="I57" s="7" t="s">
        <v>260</v>
      </c>
    </row>
    <row r="58" customFormat="false" ht="23.25" hidden="false" customHeight="true" outlineLevel="0" collapsed="false">
      <c r="A58" s="3" t="n">
        <v>57</v>
      </c>
      <c r="B58" s="3" t="s">
        <v>230</v>
      </c>
      <c r="C58" s="4" t="s">
        <v>261</v>
      </c>
      <c r="D58" s="3" t="s">
        <v>45</v>
      </c>
      <c r="E58" s="3" t="s">
        <v>262</v>
      </c>
      <c r="F58" s="3" t="s">
        <v>263</v>
      </c>
      <c r="G58" s="11" t="s">
        <v>67</v>
      </c>
      <c r="H58" s="6" t="s">
        <v>68</v>
      </c>
      <c r="I58" s="3" t="s">
        <v>264</v>
      </c>
    </row>
    <row r="59" customFormat="false" ht="57.45" hidden="false" customHeight="false" outlineLevel="0" collapsed="false">
      <c r="A59" s="14" t="n">
        <v>58</v>
      </c>
      <c r="B59" s="14" t="s">
        <v>230</v>
      </c>
      <c r="C59" s="14" t="s">
        <v>265</v>
      </c>
      <c r="D59" s="14" t="s">
        <v>11</v>
      </c>
      <c r="E59" s="14" t="s">
        <v>266</v>
      </c>
      <c r="F59" s="14" t="s">
        <v>267</v>
      </c>
      <c r="G59" s="14" t="s">
        <v>102</v>
      </c>
      <c r="H59" s="14" t="s">
        <v>268</v>
      </c>
      <c r="I59" s="14" t="s">
        <v>269</v>
      </c>
    </row>
    <row r="60" customFormat="false" ht="13.5" hidden="false" customHeight="true" outlineLevel="0" collapsed="false">
      <c r="A60" s="14" t="n">
        <v>59</v>
      </c>
      <c r="B60" s="15" t="s">
        <v>230</v>
      </c>
      <c r="C60" s="14" t="s">
        <v>270</v>
      </c>
      <c r="D60" s="14" t="s">
        <v>11</v>
      </c>
      <c r="E60" s="14" t="s">
        <v>237</v>
      </c>
      <c r="F60" s="14" t="s">
        <v>271</v>
      </c>
      <c r="G60" s="14" t="s">
        <v>102</v>
      </c>
      <c r="H60" s="14" t="s">
        <v>268</v>
      </c>
      <c r="I60" s="14" t="s">
        <v>272</v>
      </c>
    </row>
    <row r="61" customFormat="false" ht="13.5" hidden="false" customHeight="true" outlineLevel="0" collapsed="false">
      <c r="A61" s="14" t="n">
        <v>60</v>
      </c>
      <c r="B61" s="16" t="s">
        <v>230</v>
      </c>
      <c r="C61" s="15" t="s">
        <v>273</v>
      </c>
      <c r="D61" s="14" t="s">
        <v>11</v>
      </c>
      <c r="E61" s="14" t="s">
        <v>237</v>
      </c>
      <c r="F61" s="14" t="s">
        <v>274</v>
      </c>
      <c r="G61" s="14" t="s">
        <v>102</v>
      </c>
      <c r="H61" s="14" t="s">
        <v>268</v>
      </c>
      <c r="I61" s="14" t="s">
        <v>275</v>
      </c>
    </row>
    <row r="62" customFormat="false" ht="13.5" hidden="false" customHeight="true" outlineLevel="0" collapsed="false">
      <c r="A62" s="14" t="n">
        <v>61</v>
      </c>
      <c r="B62" s="16" t="s">
        <v>230</v>
      </c>
      <c r="C62" s="15" t="s">
        <v>276</v>
      </c>
      <c r="D62" s="14" t="s">
        <v>11</v>
      </c>
      <c r="E62" s="14" t="s">
        <v>277</v>
      </c>
      <c r="F62" s="14" t="s">
        <v>278</v>
      </c>
      <c r="G62" s="14" t="s">
        <v>102</v>
      </c>
      <c r="H62" s="14" t="s">
        <v>213</v>
      </c>
      <c r="I62" s="14" t="s">
        <v>279</v>
      </c>
    </row>
    <row r="63" customFormat="false" ht="13.5" hidden="false" customHeight="true" outlineLevel="0" collapsed="false">
      <c r="A63" s="14" t="n">
        <v>62</v>
      </c>
      <c r="B63" s="16" t="s">
        <v>230</v>
      </c>
      <c r="C63" s="15" t="s">
        <v>280</v>
      </c>
      <c r="D63" s="14" t="s">
        <v>45</v>
      </c>
      <c r="E63" s="14" t="s">
        <v>281</v>
      </c>
      <c r="F63" s="14" t="s">
        <v>282</v>
      </c>
      <c r="G63" s="14" t="s">
        <v>102</v>
      </c>
      <c r="H63" s="14" t="s">
        <v>268</v>
      </c>
      <c r="I63" s="14" t="s">
        <v>283</v>
      </c>
    </row>
    <row r="64" customFormat="false" ht="13.5" hidden="false" customHeight="true" outlineLevel="0" collapsed="false">
      <c r="A64" s="14" t="n">
        <v>63</v>
      </c>
      <c r="B64" s="16" t="s">
        <v>230</v>
      </c>
      <c r="C64" s="15" t="s">
        <v>284</v>
      </c>
      <c r="D64" s="14" t="s">
        <v>45</v>
      </c>
      <c r="E64" s="14" t="s">
        <v>285</v>
      </c>
      <c r="F64" s="14" t="s">
        <v>286</v>
      </c>
      <c r="G64" s="14" t="s">
        <v>102</v>
      </c>
      <c r="H64" s="14" t="s">
        <v>268</v>
      </c>
      <c r="I64" s="14" t="s">
        <v>287</v>
      </c>
    </row>
    <row r="65" customFormat="false" ht="13.5" hidden="false" customHeight="true" outlineLevel="0" collapsed="false">
      <c r="A65" s="14" t="n">
        <v>64</v>
      </c>
      <c r="B65" s="16" t="s">
        <v>230</v>
      </c>
      <c r="C65" s="15" t="s">
        <v>288</v>
      </c>
      <c r="D65" s="14" t="s">
        <v>11</v>
      </c>
      <c r="E65" s="14" t="s">
        <v>289</v>
      </c>
      <c r="F65" s="14" t="s">
        <v>290</v>
      </c>
      <c r="G65" s="14" t="s">
        <v>102</v>
      </c>
      <c r="H65" s="14" t="s">
        <v>223</v>
      </c>
      <c r="I65" s="14" t="s">
        <v>291</v>
      </c>
    </row>
    <row r="66" customFormat="false" ht="13.5" hidden="false" customHeight="true" outlineLevel="0" collapsed="false">
      <c r="A66" s="14" t="n">
        <v>65</v>
      </c>
      <c r="B66" s="16" t="s">
        <v>230</v>
      </c>
      <c r="C66" s="15" t="s">
        <v>292</v>
      </c>
      <c r="D66" s="14" t="s">
        <v>45</v>
      </c>
      <c r="E66" s="14" t="s">
        <v>293</v>
      </c>
      <c r="F66" s="14" t="s">
        <v>294</v>
      </c>
      <c r="G66" s="14" t="s">
        <v>102</v>
      </c>
      <c r="H66" s="14" t="s">
        <v>223</v>
      </c>
      <c r="I66" s="14" t="s">
        <v>295</v>
      </c>
    </row>
    <row r="67" customFormat="false" ht="13.5" hidden="false" customHeight="true" outlineLevel="0" collapsed="false">
      <c r="A67" s="14" t="n">
        <v>66</v>
      </c>
      <c r="B67" s="16" t="s">
        <v>230</v>
      </c>
      <c r="C67" s="15" t="s">
        <v>296</v>
      </c>
      <c r="D67" s="14" t="s">
        <v>202</v>
      </c>
      <c r="E67" s="14" t="s">
        <v>297</v>
      </c>
      <c r="F67" s="14" t="s">
        <v>298</v>
      </c>
      <c r="G67" s="14" t="s">
        <v>67</v>
      </c>
      <c r="H67" s="14" t="s">
        <v>68</v>
      </c>
      <c r="I67" s="14" t="s">
        <v>299</v>
      </c>
    </row>
    <row r="68" customFormat="false" ht="46.25" hidden="false" customHeight="false" outlineLevel="0" collapsed="false">
      <c r="A68" s="14" t="n">
        <v>67</v>
      </c>
      <c r="B68" s="14" t="s">
        <v>230</v>
      </c>
      <c r="C68" s="14" t="s">
        <v>300</v>
      </c>
      <c r="D68" s="14" t="s">
        <v>202</v>
      </c>
      <c r="E68" s="14" t="s">
        <v>301</v>
      </c>
      <c r="F68" s="14" t="s">
        <v>302</v>
      </c>
      <c r="G68" s="14" t="s">
        <v>67</v>
      </c>
      <c r="H68" s="14" t="s">
        <v>68</v>
      </c>
      <c r="I68" s="14" t="s">
        <v>303</v>
      </c>
    </row>
    <row r="69" customFormat="false" ht="15" hidden="false" customHeight="true" outlineLevel="0" collapsed="false">
      <c r="A69" s="14" t="n">
        <v>68</v>
      </c>
      <c r="B69" s="17" t="s">
        <v>119</v>
      </c>
      <c r="C69" s="14" t="s">
        <v>304</v>
      </c>
      <c r="D69" s="14" t="s">
        <v>11</v>
      </c>
      <c r="E69" s="14" t="s">
        <v>305</v>
      </c>
      <c r="F69" s="14" t="s">
        <v>306</v>
      </c>
      <c r="G69" s="14" t="s">
        <v>102</v>
      </c>
      <c r="H69" s="14" t="s">
        <v>268</v>
      </c>
      <c r="I69" s="14" t="s">
        <v>307</v>
      </c>
    </row>
    <row r="70" customFormat="false" ht="46.25" hidden="false" customHeight="false" outlineLevel="0" collapsed="false">
      <c r="A70" s="14" t="n">
        <v>69</v>
      </c>
      <c r="B70" s="14" t="s">
        <v>119</v>
      </c>
      <c r="C70" s="14" t="s">
        <v>308</v>
      </c>
      <c r="D70" s="14" t="s">
        <v>31</v>
      </c>
      <c r="E70" s="14" t="s">
        <v>309</v>
      </c>
      <c r="F70" s="14" t="s">
        <v>310</v>
      </c>
      <c r="G70" s="14" t="s">
        <v>102</v>
      </c>
      <c r="H70" s="14" t="s">
        <v>213</v>
      </c>
      <c r="I70" s="14" t="s">
        <v>311</v>
      </c>
    </row>
    <row r="71" customFormat="false" ht="46.25" hidden="false" customHeight="false" outlineLevel="0" collapsed="false">
      <c r="A71" s="14" t="n">
        <v>70</v>
      </c>
      <c r="B71" s="14" t="s">
        <v>119</v>
      </c>
      <c r="C71" s="14" t="s">
        <v>312</v>
      </c>
      <c r="D71" s="14" t="s">
        <v>45</v>
      </c>
      <c r="E71" s="14" t="s">
        <v>313</v>
      </c>
      <c r="F71" s="14" t="s">
        <v>314</v>
      </c>
      <c r="G71" s="14" t="s">
        <v>102</v>
      </c>
      <c r="H71" s="14" t="s">
        <v>213</v>
      </c>
      <c r="I71" s="14" t="s">
        <v>315</v>
      </c>
    </row>
    <row r="72" customFormat="false" ht="46.25" hidden="false" customHeight="false" outlineLevel="0" collapsed="false">
      <c r="A72" s="14" t="n">
        <v>71</v>
      </c>
      <c r="B72" s="14" t="s">
        <v>119</v>
      </c>
      <c r="C72" s="14" t="s">
        <v>316</v>
      </c>
      <c r="D72" s="14" t="s">
        <v>45</v>
      </c>
      <c r="E72" s="14" t="s">
        <v>317</v>
      </c>
      <c r="F72" s="14" t="s">
        <v>318</v>
      </c>
      <c r="G72" s="14" t="s">
        <v>102</v>
      </c>
      <c r="H72" s="14" t="s">
        <v>223</v>
      </c>
      <c r="I72" s="14" t="s">
        <v>319</v>
      </c>
    </row>
    <row r="73" customFormat="false" ht="35.05" hidden="false" customHeight="false" outlineLevel="0" collapsed="false">
      <c r="A73" s="14" t="n">
        <v>72</v>
      </c>
      <c r="B73" s="14" t="s">
        <v>119</v>
      </c>
      <c r="C73" s="14" t="s">
        <v>320</v>
      </c>
      <c r="D73" s="14" t="s">
        <v>11</v>
      </c>
      <c r="E73" s="14" t="s">
        <v>321</v>
      </c>
      <c r="F73" s="14" t="s">
        <v>322</v>
      </c>
      <c r="G73" s="14" t="s">
        <v>218</v>
      </c>
      <c r="H73" s="14" t="s">
        <v>68</v>
      </c>
      <c r="I73" s="14" t="s">
        <v>323</v>
      </c>
    </row>
    <row r="74" customFormat="false" ht="15" hidden="false" customHeight="false" outlineLevel="0" collapsed="false">
      <c r="A74" s="18"/>
      <c r="B74" s="18"/>
      <c r="C74" s="18"/>
      <c r="D74" s="18"/>
      <c r="E74" s="18"/>
      <c r="F74" s="18"/>
      <c r="G74" s="18"/>
      <c r="H74" s="18"/>
      <c r="I74" s="18"/>
    </row>
    <row r="75" customFormat="false" ht="90.25" hidden="false" customHeight="false" outlineLevel="0" collapsed="false">
      <c r="A75" s="19" t="s">
        <v>324</v>
      </c>
      <c r="B75" s="18"/>
      <c r="C75" s="18"/>
      <c r="D75" s="18"/>
      <c r="E75" s="18"/>
      <c r="F75" s="18"/>
      <c r="G75" s="18"/>
      <c r="H75" s="18"/>
      <c r="I75" s="18"/>
    </row>
    <row r="76" customFormat="false" ht="35.05" hidden="false" customHeight="false" outlineLevel="0" collapsed="false">
      <c r="A76" s="20" t="s">
        <v>325</v>
      </c>
      <c r="B76" s="20" t="n">
        <f aca="false">COUNTA(C2:C73)</f>
        <v>72</v>
      </c>
      <c r="C76" s="18"/>
      <c r="D76" s="18"/>
      <c r="E76" s="18"/>
      <c r="F76" s="18"/>
      <c r="G76" s="18"/>
      <c r="H76" s="18"/>
      <c r="I76" s="18"/>
    </row>
    <row r="77" customFormat="false" ht="91" hidden="false" customHeight="false" outlineLevel="0" collapsed="false">
      <c r="A77" s="20" t="s">
        <v>326</v>
      </c>
      <c r="B77" s="20" t="n">
        <f aca="false">COUNTIF(G2:G73,"Fixed &amp; live")</f>
        <v>43</v>
      </c>
      <c r="C77" s="18"/>
      <c r="D77" s="18"/>
      <c r="E77" s="18"/>
      <c r="F77" s="18"/>
      <c r="G77" s="18"/>
      <c r="H77" s="18"/>
      <c r="I77" s="18"/>
    </row>
    <row r="78" customFormat="false" ht="91" hidden="false" customHeight="false" outlineLevel="0" collapsed="false">
      <c r="A78" s="20" t="s">
        <v>327</v>
      </c>
      <c r="B78" s="20" t="n">
        <f aca="false">COUNTIF(G2:G73,"Fixed - pending push")</f>
        <v>16</v>
      </c>
      <c r="C78" s="18"/>
      <c r="D78" s="18"/>
      <c r="E78" s="18"/>
      <c r="F78" s="18"/>
      <c r="G78" s="18"/>
      <c r="H78" s="18"/>
      <c r="I78" s="18"/>
    </row>
    <row r="79" customFormat="false" ht="57.45" hidden="false" customHeight="false" outlineLevel="0" collapsed="false">
      <c r="A79" s="20" t="s">
        <v>328</v>
      </c>
      <c r="B79" s="20" t="n">
        <f aca="false">COUNTIF(G2:G73,"Delivered - with one gap named")+COUNTIF(G2:G73,"Delivered - drafts only, nothing sent")</f>
        <v>2</v>
      </c>
      <c r="C79" s="18"/>
      <c r="D79" s="18"/>
      <c r="E79" s="18"/>
      <c r="F79" s="18"/>
      <c r="G79" s="18"/>
      <c r="H79" s="18"/>
      <c r="I79" s="18"/>
    </row>
    <row r="80" customFormat="false" ht="35.05" hidden="false" customHeight="false" outlineLevel="0" collapsed="false">
      <c r="A80" s="20" t="s">
        <v>329</v>
      </c>
      <c r="B80" s="20" t="n">
        <f aca="false">COUNTIF(G2:G73,"In progress")+COUNTIF(G2:G73,"In progress - 476 of 1,000")+COUNTIF(G2:G73,"In progress - 6,790 of 20,000")</f>
        <v>2</v>
      </c>
      <c r="C80" s="18"/>
      <c r="D80" s="18"/>
      <c r="E80" s="18"/>
      <c r="F80" s="18"/>
      <c r="G80" s="18"/>
      <c r="H80" s="18"/>
      <c r="I80" s="18"/>
    </row>
    <row r="81" customFormat="false" ht="46.25" hidden="false" customHeight="false" outlineLevel="0" collapsed="false">
      <c r="A81" s="20" t="s">
        <v>330</v>
      </c>
      <c r="B81" s="20" t="n">
        <f aca="false">COUNTIF(G2:G73,"Open - awaiting you")+COUNTIF(G2:G73,"Needs your input")+COUNTIF(G2:G73,"Open - your call")</f>
        <v>3</v>
      </c>
      <c r="C81" s="18"/>
      <c r="D81" s="18"/>
      <c r="E81" s="18"/>
      <c r="F81" s="18"/>
      <c r="G81" s="18"/>
      <c r="H81" s="18"/>
      <c r="I81" s="18"/>
    </row>
    <row r="82" customFormat="false" ht="35.05" hidden="false" customHeight="false" outlineLevel="0" collapsed="false">
      <c r="A82" s="20" t="s">
        <v>331</v>
      </c>
      <c r="B82" s="20" t="n">
        <f aca="false">COUNTIF(G2:G73,"Open - mine")</f>
        <v>0</v>
      </c>
      <c r="C82" s="18"/>
      <c r="D82" s="18"/>
      <c r="E82" s="18"/>
      <c r="F82" s="18"/>
      <c r="G82" s="18"/>
      <c r="H82" s="18"/>
      <c r="I82" s="18"/>
    </row>
    <row r="83" customFormat="false" ht="79.85" hidden="false" customHeight="false" outlineLevel="0" collapsed="false">
      <c r="A83" s="20" t="s">
        <v>332</v>
      </c>
      <c r="B83" s="20" t="n">
        <f aca="false">COUNTIF(G2:G73,"Not applicable")</f>
        <v>6</v>
      </c>
      <c r="C83" s="18"/>
      <c r="D83" s="18"/>
      <c r="E83" s="18"/>
      <c r="F83" s="18"/>
      <c r="G83" s="18"/>
      <c r="H83" s="18"/>
      <c r="I83" s="18"/>
    </row>
    <row r="84" customFormat="false" ht="68.65" hidden="false" customHeight="false" outlineLevel="0" collapsed="false">
      <c r="A84" s="20" t="s">
        <v>333</v>
      </c>
      <c r="B84" s="20" t="str">
        <f aca="false">(COUNTIFS(D2:D73,"Critical",G2:G73,"Fixed &amp; live")+COUNTIFS(D2:D73,"Critical",G2:G73,"Fixed - pending push"))&amp;" of "&amp;COUNTIF(D2:D73,"Critical")</f>
        <v>9 of 9</v>
      </c>
      <c r="C84" s="18"/>
      <c r="D84" s="18"/>
      <c r="E84" s="18"/>
      <c r="F84" s="18"/>
      <c r="G84" s="18"/>
      <c r="H84" s="18"/>
      <c r="I84" s="18"/>
    </row>
    <row r="85" customFormat="false" ht="15" hidden="false" customHeight="false" outlineLevel="0" collapsed="false">
      <c r="A85" s="18"/>
      <c r="B85" s="18"/>
      <c r="C85" s="18"/>
      <c r="D85" s="18"/>
      <c r="E85" s="18"/>
      <c r="F85" s="18"/>
      <c r="G85" s="18"/>
      <c r="H85" s="18"/>
      <c r="I85" s="18"/>
    </row>
    <row r="86" customFormat="false" ht="818.65" hidden="false" customHeight="false" outlineLevel="0" collapsed="false">
      <c r="A86" s="20" t="s">
        <v>334</v>
      </c>
      <c r="B86" s="18"/>
      <c r="C86" s="18"/>
      <c r="D86" s="18"/>
      <c r="E86" s="18"/>
      <c r="F86" s="18"/>
      <c r="G86" s="18"/>
      <c r="H86" s="18"/>
      <c r="I86" s="18"/>
    </row>
  </sheetData>
  <autoFilter ref="A1:I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0"/>
    <col collapsed="false" customWidth="true" hidden="false" outlineLevel="0" max="3" min="2" style="1" width="20"/>
    <col collapsed="false" customWidth="true" hidden="false" outlineLevel="0" max="4" min="4" style="1" width="16"/>
    <col collapsed="false" customWidth="true" hidden="false" outlineLevel="0" max="5" min="5" style="1" width="46"/>
  </cols>
  <sheetData>
    <row r="1" customFormat="false" ht="12.75" hidden="false" customHeight="true" outlineLevel="0" collapsed="false">
      <c r="A1" s="2" t="s">
        <v>335</v>
      </c>
      <c r="B1" s="2" t="s">
        <v>336</v>
      </c>
      <c r="C1" s="2" t="s">
        <v>337</v>
      </c>
      <c r="D1" s="2" t="s">
        <v>338</v>
      </c>
      <c r="E1" s="2" t="s">
        <v>339</v>
      </c>
    </row>
    <row r="2" customFormat="false" ht="12.75" hidden="false" customHeight="true" outlineLevel="0" collapsed="false">
      <c r="A2" s="3" t="s">
        <v>340</v>
      </c>
      <c r="B2" s="3" t="s">
        <v>341</v>
      </c>
      <c r="C2" s="3" t="s">
        <v>342</v>
      </c>
      <c r="D2" s="4" t="s">
        <v>343</v>
      </c>
      <c r="E2" s="3" t="s">
        <v>344</v>
      </c>
    </row>
    <row r="3" customFormat="false" ht="12.75" hidden="false" customHeight="true" outlineLevel="0" collapsed="false">
      <c r="A3" s="7" t="s">
        <v>345</v>
      </c>
      <c r="B3" s="7" t="s">
        <v>346</v>
      </c>
      <c r="C3" s="7" t="s">
        <v>347</v>
      </c>
      <c r="D3" s="8" t="s">
        <v>348</v>
      </c>
      <c r="E3" s="7" t="s">
        <v>349</v>
      </c>
    </row>
    <row r="4" customFormat="false" ht="12.75" hidden="false" customHeight="true" outlineLevel="0" collapsed="false">
      <c r="A4" s="3" t="s">
        <v>350</v>
      </c>
      <c r="B4" s="3" t="s">
        <v>351</v>
      </c>
      <c r="C4" s="3" t="s">
        <v>352</v>
      </c>
      <c r="D4" s="4" t="s">
        <v>353</v>
      </c>
      <c r="E4" s="3" t="s">
        <v>354</v>
      </c>
    </row>
    <row r="5" customFormat="false" ht="12.75" hidden="false" customHeight="true" outlineLevel="0" collapsed="false">
      <c r="A5" s="7" t="s">
        <v>355</v>
      </c>
      <c r="B5" s="7" t="s">
        <v>356</v>
      </c>
      <c r="C5" s="7" t="s">
        <v>357</v>
      </c>
      <c r="D5" s="8" t="s">
        <v>358</v>
      </c>
      <c r="E5" s="7" t="s">
        <v>359</v>
      </c>
    </row>
    <row r="6" customFormat="false" ht="12.75" hidden="false" customHeight="true" outlineLevel="0" collapsed="false">
      <c r="A6" s="3" t="s">
        <v>360</v>
      </c>
      <c r="B6" s="3" t="s">
        <v>361</v>
      </c>
      <c r="C6" s="3" t="s">
        <v>362</v>
      </c>
      <c r="D6" s="4" t="s">
        <v>363</v>
      </c>
      <c r="E6" s="3" t="s">
        <v>364</v>
      </c>
    </row>
    <row r="7" customFormat="false" ht="12.75" hidden="false" customHeight="true" outlineLevel="0" collapsed="false">
      <c r="A7" s="7" t="s">
        <v>365</v>
      </c>
      <c r="B7" s="7" t="s">
        <v>366</v>
      </c>
      <c r="C7" s="7" t="s">
        <v>367</v>
      </c>
      <c r="D7" s="8" t="s">
        <v>368</v>
      </c>
      <c r="E7" s="7" t="s">
        <v>369</v>
      </c>
    </row>
    <row r="8" customFormat="false" ht="12.75" hidden="false" customHeight="true" outlineLevel="0" collapsed="false">
      <c r="A8" s="3" t="s">
        <v>370</v>
      </c>
      <c r="B8" s="3" t="s">
        <v>371</v>
      </c>
      <c r="C8" s="3" t="s">
        <v>372</v>
      </c>
      <c r="D8" s="4" t="s">
        <v>373</v>
      </c>
      <c r="E8" s="3" t="s">
        <v>374</v>
      </c>
    </row>
    <row r="9" customFormat="false" ht="12.75" hidden="false" customHeight="true" outlineLevel="0" collapsed="false">
      <c r="A9" s="7" t="s">
        <v>375</v>
      </c>
      <c r="B9" s="7" t="s">
        <v>367</v>
      </c>
      <c r="C9" s="7" t="s">
        <v>376</v>
      </c>
      <c r="D9" s="8" t="s">
        <v>377</v>
      </c>
      <c r="E9" s="7" t="s">
        <v>378</v>
      </c>
    </row>
    <row r="10" customFormat="false" ht="12.75" hidden="false" customHeight="true" outlineLevel="0" collapsed="false">
      <c r="A10" s="3" t="s">
        <v>379</v>
      </c>
      <c r="B10" s="3" t="s">
        <v>367</v>
      </c>
      <c r="C10" s="3" t="s">
        <v>380</v>
      </c>
      <c r="D10" s="4" t="s">
        <v>377</v>
      </c>
      <c r="E10" s="3" t="s">
        <v>378</v>
      </c>
    </row>
    <row r="11" customFormat="false" ht="12.75" hidden="false" customHeight="true" outlineLevel="0" collapsed="false">
      <c r="A11" s="7" t="s">
        <v>381</v>
      </c>
      <c r="B11" s="7" t="s">
        <v>382</v>
      </c>
      <c r="C11" s="7" t="s">
        <v>383</v>
      </c>
      <c r="D11" s="8" t="s">
        <v>384</v>
      </c>
      <c r="E11" s="7" t="s">
        <v>378</v>
      </c>
    </row>
    <row r="12" customFormat="false" ht="12.75" hidden="false" customHeight="true" outlineLevel="0" collapsed="false">
      <c r="A12" s="3" t="s">
        <v>385</v>
      </c>
      <c r="B12" s="3" t="s">
        <v>386</v>
      </c>
      <c r="C12" s="3" t="s">
        <v>387</v>
      </c>
      <c r="D12" s="4" t="s">
        <v>388</v>
      </c>
      <c r="E12" s="3" t="s">
        <v>389</v>
      </c>
    </row>
    <row r="13" customFormat="false" ht="12.75" hidden="false" customHeight="true" outlineLevel="0" collapsed="false">
      <c r="A13" s="7" t="s">
        <v>390</v>
      </c>
      <c r="B13" s="7" t="s">
        <v>367</v>
      </c>
      <c r="C13" s="7" t="s">
        <v>391</v>
      </c>
      <c r="D13" s="8" t="s">
        <v>392</v>
      </c>
      <c r="E13" s="7" t="s">
        <v>393</v>
      </c>
    </row>
    <row r="14" customFormat="false" ht="12.75" hidden="false" customHeight="true" outlineLevel="0" collapsed="false">
      <c r="A14" s="3" t="s">
        <v>394</v>
      </c>
      <c r="B14" s="3" t="s">
        <v>395</v>
      </c>
      <c r="C14" s="3" t="s">
        <v>396</v>
      </c>
      <c r="D14" s="4" t="s">
        <v>397</v>
      </c>
      <c r="E14" s="3" t="s">
        <v>398</v>
      </c>
    </row>
    <row r="15" customFormat="false" ht="12.75" hidden="false" customHeight="true" outlineLevel="0" collapsed="false">
      <c r="A15" s="7" t="s">
        <v>399</v>
      </c>
      <c r="B15" s="7" t="s">
        <v>400</v>
      </c>
      <c r="C15" s="7" t="s">
        <v>367</v>
      </c>
      <c r="D15" s="8" t="s">
        <v>368</v>
      </c>
      <c r="E15" s="7" t="s">
        <v>401</v>
      </c>
    </row>
    <row r="16" customFormat="false" ht="12.75" hidden="false" customHeight="true" outlineLevel="0" collapsed="false">
      <c r="A16" s="3" t="s">
        <v>402</v>
      </c>
      <c r="B16" s="3" t="s">
        <v>403</v>
      </c>
      <c r="C16" s="3" t="s">
        <v>404</v>
      </c>
      <c r="D16" s="4" t="s">
        <v>405</v>
      </c>
      <c r="E16" s="3" t="s">
        <v>406</v>
      </c>
    </row>
    <row r="17" customFormat="false" ht="15" hidden="false" customHeight="false" outlineLevel="0" collapsed="false">
      <c r="A17" s="18"/>
      <c r="B17" s="18"/>
      <c r="C17" s="18"/>
      <c r="D17" s="18"/>
      <c r="E17" s="18"/>
    </row>
    <row r="18" customFormat="false" ht="15" hidden="false" customHeight="false" outlineLevel="0" collapsed="false">
      <c r="A18" s="19" t="s">
        <v>407</v>
      </c>
      <c r="B18" s="18"/>
      <c r="C18" s="18"/>
      <c r="D18" s="18"/>
      <c r="E18" s="18"/>
    </row>
    <row r="19" customFormat="false" ht="15" hidden="false" customHeight="false" outlineLevel="0" collapsed="false">
      <c r="A19" s="14" t="s">
        <v>394</v>
      </c>
      <c r="B19" s="14" t="s">
        <v>408</v>
      </c>
      <c r="C19" s="14" t="s">
        <v>409</v>
      </c>
      <c r="D19" s="14" t="s">
        <v>410</v>
      </c>
      <c r="E19" s="14" t="s">
        <v>398</v>
      </c>
    </row>
    <row r="20" customFormat="false" ht="15" hidden="false" customHeight="false" outlineLevel="0" collapsed="false">
      <c r="A20" s="14" t="s">
        <v>411</v>
      </c>
      <c r="B20" s="14" t="s">
        <v>412</v>
      </c>
      <c r="C20" s="14" t="s">
        <v>413</v>
      </c>
      <c r="D20" s="14" t="s">
        <v>414</v>
      </c>
      <c r="E20" s="14" t="s">
        <v>415</v>
      </c>
    </row>
    <row r="21" customFormat="false" ht="15" hidden="false" customHeight="false" outlineLevel="0" collapsed="false">
      <c r="A21" s="14" t="s">
        <v>416</v>
      </c>
      <c r="B21" s="14" t="s">
        <v>417</v>
      </c>
      <c r="C21" s="14" t="s">
        <v>418</v>
      </c>
      <c r="D21" s="14" t="s">
        <v>419</v>
      </c>
      <c r="E21" s="14" t="s">
        <v>378</v>
      </c>
    </row>
    <row r="22" customFormat="false" ht="23.85" hidden="false" customHeight="false" outlineLevel="0" collapsed="false">
      <c r="A22" s="14" t="s">
        <v>420</v>
      </c>
      <c r="B22" s="14" t="s">
        <v>421</v>
      </c>
      <c r="C22" s="14" t="s">
        <v>422</v>
      </c>
      <c r="D22" s="14" t="s">
        <v>423</v>
      </c>
      <c r="E22" s="14" t="s">
        <v>424</v>
      </c>
    </row>
    <row r="23" customFormat="false" ht="15" hidden="false" customHeight="false" outlineLevel="0" collapsed="false">
      <c r="A23" s="14" t="s">
        <v>425</v>
      </c>
      <c r="B23" s="14" t="s">
        <v>426</v>
      </c>
      <c r="C23" s="14" t="s">
        <v>427</v>
      </c>
      <c r="D23" s="14" t="s">
        <v>428</v>
      </c>
      <c r="E23" s="14" t="s">
        <v>429</v>
      </c>
    </row>
    <row r="24" customFormat="false" ht="15" hidden="false" customHeight="false" outlineLevel="0" collapsed="false">
      <c r="A24" s="14" t="s">
        <v>430</v>
      </c>
      <c r="B24" s="14" t="s">
        <v>431</v>
      </c>
      <c r="C24" s="14" t="s">
        <v>432</v>
      </c>
      <c r="D24" s="14" t="s">
        <v>433</v>
      </c>
      <c r="E24" s="14" t="s">
        <v>434</v>
      </c>
    </row>
    <row r="25" customFormat="false" ht="15" hidden="false" customHeight="false" outlineLevel="0" collapsed="false">
      <c r="A25" s="14" t="s">
        <v>435</v>
      </c>
      <c r="B25" s="14" t="s">
        <v>436</v>
      </c>
      <c r="C25" s="14" t="s">
        <v>437</v>
      </c>
      <c r="D25" s="14" t="s">
        <v>358</v>
      </c>
      <c r="E25" s="14" t="s">
        <v>438</v>
      </c>
    </row>
    <row r="26" customFormat="false" ht="15" hidden="false" customHeight="false" outlineLevel="0" collapsed="false">
      <c r="A26" s="14" t="s">
        <v>439</v>
      </c>
      <c r="B26" s="14" t="s">
        <v>440</v>
      </c>
      <c r="C26" s="14" t="s">
        <v>441</v>
      </c>
      <c r="D26" s="14" t="s">
        <v>442</v>
      </c>
      <c r="E26" s="14" t="s">
        <v>443</v>
      </c>
    </row>
    <row r="27" customFormat="false" ht="23.85" hidden="false" customHeight="false" outlineLevel="0" collapsed="false">
      <c r="A27" s="14" t="s">
        <v>444</v>
      </c>
      <c r="B27" s="14" t="s">
        <v>445</v>
      </c>
      <c r="C27" s="14" t="s">
        <v>446</v>
      </c>
      <c r="D27" s="14" t="s">
        <v>447</v>
      </c>
      <c r="E27" s="14" t="s">
        <v>448</v>
      </c>
    </row>
    <row r="28" customFormat="false" ht="15" hidden="false" customHeight="false" outlineLevel="0" collapsed="false">
      <c r="A28" s="14" t="s">
        <v>449</v>
      </c>
      <c r="B28" s="14" t="s">
        <v>450</v>
      </c>
      <c r="C28" s="14" t="s">
        <v>451</v>
      </c>
      <c r="D28" s="14" t="s">
        <v>452</v>
      </c>
      <c r="E28" s="14" t="s">
        <v>453</v>
      </c>
    </row>
    <row r="29" customFormat="false" ht="15" hidden="false" customHeight="false" outlineLevel="0" collapsed="false">
      <c r="A29" s="14" t="s">
        <v>402</v>
      </c>
      <c r="B29" s="14" t="s">
        <v>454</v>
      </c>
      <c r="C29" s="14" t="s">
        <v>455</v>
      </c>
      <c r="D29" s="14" t="s">
        <v>456</v>
      </c>
      <c r="E29" s="14" t="s">
        <v>406</v>
      </c>
    </row>
    <row r="30" customFormat="false" ht="15" hidden="false" customHeight="false" outlineLevel="0" collapsed="false">
      <c r="A30" s="14" t="s">
        <v>457</v>
      </c>
      <c r="B30" s="14" t="s">
        <v>458</v>
      </c>
      <c r="C30" s="14" t="s">
        <v>459</v>
      </c>
      <c r="D30" s="14" t="s">
        <v>460</v>
      </c>
      <c r="E30" s="14"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2" min="1" style="1" width="30"/>
    <col collapsed="false" customWidth="true" hidden="false" outlineLevel="0" max="3" min="3" style="1" width="34"/>
    <col collapsed="false" customWidth="true" hidden="false" outlineLevel="0" max="4" min="4" style="1" width="18"/>
    <col collapsed="false" customWidth="true" hidden="false" outlineLevel="0" max="5" min="5" style="1" width="44"/>
  </cols>
  <sheetData>
    <row r="1" customFormat="false" ht="12.75" hidden="false" customHeight="true" outlineLevel="0" collapsed="false">
      <c r="A1" s="2" t="s">
        <v>462</v>
      </c>
      <c r="B1" s="2" t="s">
        <v>463</v>
      </c>
      <c r="C1" s="2" t="s">
        <v>464</v>
      </c>
      <c r="D1" s="2" t="s">
        <v>465</v>
      </c>
      <c r="E1" s="2" t="s">
        <v>466</v>
      </c>
    </row>
    <row r="2" customFormat="false" ht="23.25" hidden="false" customHeight="true" outlineLevel="0" collapsed="false">
      <c r="A2" s="4" t="s">
        <v>467</v>
      </c>
      <c r="B2" s="16" t="s">
        <v>468</v>
      </c>
      <c r="C2" s="16" t="s">
        <v>469</v>
      </c>
      <c r="D2" s="16" t="s">
        <v>470</v>
      </c>
      <c r="E2" s="16" t="s">
        <v>471</v>
      </c>
    </row>
    <row r="3" customFormat="false" ht="12.75" hidden="false" customHeight="true" outlineLevel="0" collapsed="false">
      <c r="A3" s="8" t="s">
        <v>472</v>
      </c>
      <c r="B3" s="7" t="s">
        <v>473</v>
      </c>
      <c r="C3" s="7" t="s">
        <v>474</v>
      </c>
      <c r="D3" s="13" t="s">
        <v>475</v>
      </c>
      <c r="E3" s="7" t="s">
        <v>476</v>
      </c>
    </row>
    <row r="4" customFormat="false" ht="12.75" hidden="false" customHeight="true" outlineLevel="0" collapsed="false">
      <c r="A4" s="4" t="s">
        <v>477</v>
      </c>
      <c r="B4" s="3" t="s">
        <v>478</v>
      </c>
      <c r="C4" s="3" t="s">
        <v>479</v>
      </c>
      <c r="D4" s="13" t="s">
        <v>475</v>
      </c>
      <c r="E4" s="3" t="s">
        <v>480</v>
      </c>
    </row>
    <row r="5" customFormat="false" ht="12.75" hidden="false" customHeight="true" outlineLevel="0" collapsed="false">
      <c r="A5" s="8" t="s">
        <v>481</v>
      </c>
      <c r="B5" s="7" t="s">
        <v>482</v>
      </c>
      <c r="C5" s="7" t="s">
        <v>483</v>
      </c>
      <c r="D5" s="5" t="s">
        <v>484</v>
      </c>
      <c r="E5" s="7" t="s">
        <v>485</v>
      </c>
    </row>
    <row r="6" customFormat="false" ht="12.75" hidden="false" customHeight="true" outlineLevel="0" collapsed="false">
      <c r="A6" s="4" t="s">
        <v>486</v>
      </c>
      <c r="B6" s="3" t="s">
        <v>487</v>
      </c>
      <c r="C6" s="3" t="s">
        <v>488</v>
      </c>
      <c r="D6" s="5" t="s">
        <v>484</v>
      </c>
      <c r="E6" s="3" t="s">
        <v>489</v>
      </c>
    </row>
    <row r="7" customFormat="false" ht="12.75" hidden="false" customHeight="true" outlineLevel="0" collapsed="false">
      <c r="A7" s="8" t="s">
        <v>490</v>
      </c>
      <c r="B7" s="16" t="s">
        <v>491</v>
      </c>
      <c r="C7" s="16" t="s">
        <v>492</v>
      </c>
      <c r="D7" s="16" t="s">
        <v>484</v>
      </c>
      <c r="E7" s="16" t="s">
        <v>493</v>
      </c>
    </row>
    <row r="8" customFormat="false" ht="12.75" hidden="false" customHeight="true" outlineLevel="0" collapsed="false">
      <c r="A8" s="4" t="s">
        <v>494</v>
      </c>
      <c r="B8" s="3" t="s">
        <v>495</v>
      </c>
      <c r="C8" s="3" t="s">
        <v>496</v>
      </c>
      <c r="D8" s="13" t="s">
        <v>475</v>
      </c>
      <c r="E8" s="3" t="s">
        <v>497</v>
      </c>
    </row>
    <row r="9" customFormat="false" ht="12.75" hidden="false" customHeight="true" outlineLevel="0" collapsed="false">
      <c r="A9" s="8" t="s">
        <v>498</v>
      </c>
      <c r="B9" s="7" t="s">
        <v>499</v>
      </c>
      <c r="C9" s="7" t="s">
        <v>500</v>
      </c>
      <c r="D9" s="5" t="s">
        <v>501</v>
      </c>
      <c r="E9" s="7" t="s">
        <v>502</v>
      </c>
    </row>
    <row r="10" customFormat="false" ht="12.75" hidden="false" customHeight="true" outlineLevel="0" collapsed="false">
      <c r="A10" s="4" t="s">
        <v>503</v>
      </c>
      <c r="B10" s="3" t="s">
        <v>504</v>
      </c>
      <c r="C10" s="3" t="s">
        <v>505</v>
      </c>
      <c r="D10" s="13" t="s">
        <v>475</v>
      </c>
      <c r="E10" s="3" t="s">
        <v>506</v>
      </c>
    </row>
    <row r="11" customFormat="false" ht="12.75" hidden="false" customHeight="true" outlineLevel="0" collapsed="false">
      <c r="A11" s="8" t="s">
        <v>507</v>
      </c>
      <c r="B11" s="16" t="s">
        <v>508</v>
      </c>
      <c r="C11" s="16" t="s">
        <v>509</v>
      </c>
      <c r="D11" s="16" t="s">
        <v>484</v>
      </c>
      <c r="E11" s="16" t="s">
        <v>510</v>
      </c>
    </row>
    <row r="12" customFormat="false" ht="12.75" hidden="false" customHeight="true" outlineLevel="0" collapsed="false">
      <c r="A12" s="4" t="s">
        <v>511</v>
      </c>
      <c r="B12" s="16" t="s">
        <v>512</v>
      </c>
      <c r="C12" s="16" t="s">
        <v>513</v>
      </c>
      <c r="D12" s="16" t="s">
        <v>514</v>
      </c>
      <c r="E12" s="16" t="s">
        <v>515</v>
      </c>
    </row>
    <row r="13" customFormat="false" ht="12.75" hidden="false" customHeight="true" outlineLevel="0" collapsed="false">
      <c r="A13" s="8" t="s">
        <v>516</v>
      </c>
      <c r="B13" s="16" t="s">
        <v>517</v>
      </c>
      <c r="C13" s="16" t="s">
        <v>518</v>
      </c>
      <c r="D13" s="16" t="s">
        <v>484</v>
      </c>
      <c r="E13" s="16" t="s">
        <v>519</v>
      </c>
    </row>
    <row r="14" customFormat="false" ht="12.75" hidden="false" customHeight="true" outlineLevel="0" collapsed="false">
      <c r="A14" s="4" t="s">
        <v>520</v>
      </c>
      <c r="B14" s="16" t="s">
        <v>521</v>
      </c>
      <c r="C14" s="16" t="s">
        <v>522</v>
      </c>
      <c r="D14" s="16" t="s">
        <v>484</v>
      </c>
      <c r="E14" s="16" t="s">
        <v>519</v>
      </c>
    </row>
    <row r="15" customFormat="false" ht="12.75" hidden="false" customHeight="true" outlineLevel="0" collapsed="false">
      <c r="A15" s="8" t="s">
        <v>523</v>
      </c>
      <c r="B15" s="16" t="s">
        <v>524</v>
      </c>
      <c r="C15" s="16" t="s">
        <v>525</v>
      </c>
      <c r="D15" s="16" t="s">
        <v>484</v>
      </c>
      <c r="E15" s="16" t="s">
        <v>526</v>
      </c>
    </row>
    <row r="16" customFormat="false" ht="12.75" hidden="false" customHeight="true" outlineLevel="0" collapsed="false">
      <c r="A16" s="4" t="s">
        <v>527</v>
      </c>
      <c r="B16" s="16" t="s">
        <v>528</v>
      </c>
      <c r="C16" s="16" t="s">
        <v>529</v>
      </c>
      <c r="D16" s="16" t="s">
        <v>530</v>
      </c>
      <c r="E16" s="16" t="s">
        <v>531</v>
      </c>
    </row>
    <row r="17" customFormat="false" ht="12.75" hidden="false" customHeight="true" outlineLevel="0" collapsed="false">
      <c r="A17" s="8" t="s">
        <v>532</v>
      </c>
      <c r="B17" s="16" t="s">
        <v>533</v>
      </c>
      <c r="C17" s="16" t="s">
        <v>534</v>
      </c>
      <c r="D17" s="16" t="s">
        <v>535</v>
      </c>
      <c r="E17" s="16" t="s">
        <v>536</v>
      </c>
    </row>
    <row r="18" customFormat="false" ht="12.75" hidden="false" customHeight="true" outlineLevel="0" collapsed="false">
      <c r="A18" s="4" t="s">
        <v>537</v>
      </c>
      <c r="B18" s="16" t="s">
        <v>538</v>
      </c>
      <c r="C18" s="16" t="s">
        <v>529</v>
      </c>
      <c r="D18" s="16" t="s">
        <v>530</v>
      </c>
      <c r="E18" s="16" t="s">
        <v>539</v>
      </c>
    </row>
    <row r="19" customFormat="false" ht="12.75" hidden="false" customHeight="true" outlineLevel="0" collapsed="false">
      <c r="A19" s="8" t="s">
        <v>540</v>
      </c>
      <c r="B19" s="16" t="s">
        <v>541</v>
      </c>
      <c r="C19" s="16" t="s">
        <v>542</v>
      </c>
      <c r="D19" s="16" t="s">
        <v>484</v>
      </c>
      <c r="E19" s="16" t="s">
        <v>543</v>
      </c>
    </row>
    <row r="20" customFormat="false" ht="12.75" hidden="false" customHeight="true" outlineLevel="0" collapsed="false">
      <c r="A20" s="4" t="s">
        <v>544</v>
      </c>
      <c r="B20" s="3" t="s">
        <v>545</v>
      </c>
      <c r="C20" s="3" t="s">
        <v>546</v>
      </c>
      <c r="D20" s="5" t="s">
        <v>470</v>
      </c>
      <c r="E20" s="3" t="s">
        <v>547</v>
      </c>
    </row>
    <row r="21" customFormat="false" ht="15" hidden="false" customHeight="false" outlineLevel="0" collapsed="false">
      <c r="A21" s="18"/>
      <c r="B21" s="18"/>
      <c r="C21" s="18"/>
      <c r="D21" s="18"/>
      <c r="E21" s="18"/>
    </row>
    <row r="22" customFormat="false" ht="13.5" hidden="false" customHeight="true" outlineLevel="0" collapsed="false">
      <c r="A22" s="4" t="s">
        <v>548</v>
      </c>
      <c r="B22" s="4" t="n">
        <f aca="false">COUNTIF(D2:D21,"Gap*")</f>
        <v>2</v>
      </c>
      <c r="C22" s="18"/>
      <c r="D22" s="18"/>
      <c r="E22" s="18"/>
    </row>
    <row r="23" customFormat="false" ht="13.5" hidden="false" customHeight="true" outlineLevel="0" collapsed="false">
      <c r="A23" s="4" t="s">
        <v>549</v>
      </c>
      <c r="B23" s="4" t="n">
        <f aca="false">COUNTIF(D2:D21,"Closed*")+COUNTIF(D2:D21,"Ahead")+COUNTIF(D2:D21,"Parity*")</f>
        <v>17</v>
      </c>
      <c r="C23" s="18"/>
      <c r="D23" s="18"/>
      <c r="E23"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18"/>
    <col collapsed="false" customWidth="true" hidden="false" outlineLevel="0" max="4" min="4" style="1" width="14"/>
    <col collapsed="false" customWidth="true" hidden="false" outlineLevel="0" max="5" min="5" style="1" width="42"/>
  </cols>
  <sheetData>
    <row r="1" customFormat="false" ht="12.75" hidden="false" customHeight="true" outlineLevel="0" collapsed="false">
      <c r="A1" s="2" t="s">
        <v>550</v>
      </c>
      <c r="B1" s="2" t="s">
        <v>551</v>
      </c>
      <c r="C1" s="2" t="s">
        <v>552</v>
      </c>
      <c r="D1" s="2" t="s">
        <v>553</v>
      </c>
      <c r="E1" s="2" t="s">
        <v>554</v>
      </c>
    </row>
    <row r="2" customFormat="false" ht="12.75" hidden="false" customHeight="true" outlineLevel="0" collapsed="false">
      <c r="A2" s="3" t="s">
        <v>555</v>
      </c>
      <c r="B2" s="3" t="s">
        <v>556</v>
      </c>
      <c r="C2" s="3" t="s">
        <v>557</v>
      </c>
      <c r="D2" s="3" t="s">
        <v>558</v>
      </c>
      <c r="E2" s="3" t="s">
        <v>559</v>
      </c>
    </row>
    <row r="3" customFormat="false" ht="12.75" hidden="false" customHeight="true" outlineLevel="0" collapsed="false">
      <c r="A3" s="7" t="s">
        <v>560</v>
      </c>
      <c r="B3" s="7" t="s">
        <v>561</v>
      </c>
      <c r="C3" s="7" t="s">
        <v>557</v>
      </c>
      <c r="D3" s="7" t="s">
        <v>562</v>
      </c>
      <c r="E3" s="7" t="s">
        <v>563</v>
      </c>
    </row>
    <row r="4" customFormat="false" ht="12.75" hidden="false" customHeight="true" outlineLevel="0" collapsed="false">
      <c r="A4" s="3" t="s">
        <v>564</v>
      </c>
      <c r="B4" s="3" t="s">
        <v>565</v>
      </c>
      <c r="C4" s="3" t="s">
        <v>557</v>
      </c>
      <c r="D4" s="3" t="s">
        <v>566</v>
      </c>
      <c r="E4" s="3" t="s">
        <v>567</v>
      </c>
    </row>
    <row r="5" customFormat="false" ht="12.75" hidden="false" customHeight="true" outlineLevel="0" collapsed="false">
      <c r="A5" s="7" t="s">
        <v>568</v>
      </c>
      <c r="B5" s="7" t="s">
        <v>569</v>
      </c>
      <c r="C5" s="7" t="s">
        <v>557</v>
      </c>
      <c r="D5" s="7" t="s">
        <v>570</v>
      </c>
      <c r="E5" s="7" t="s">
        <v>571</v>
      </c>
    </row>
    <row r="6" customFormat="false" ht="12.75" hidden="false" customHeight="true" outlineLevel="0" collapsed="false">
      <c r="A6" s="3" t="s">
        <v>572</v>
      </c>
      <c r="B6" s="3" t="s">
        <v>573</v>
      </c>
      <c r="C6" s="3" t="s">
        <v>557</v>
      </c>
      <c r="D6" s="3" t="s">
        <v>574</v>
      </c>
      <c r="E6" s="3" t="s">
        <v>575</v>
      </c>
    </row>
    <row r="7" customFormat="false" ht="12.75" hidden="false" customHeight="true" outlineLevel="0" collapsed="false">
      <c r="A7" s="7" t="s">
        <v>576</v>
      </c>
      <c r="B7" s="7" t="s">
        <v>577</v>
      </c>
      <c r="C7" s="7" t="s">
        <v>557</v>
      </c>
      <c r="D7" s="7" t="s">
        <v>578</v>
      </c>
      <c r="E7" s="7" t="s">
        <v>579</v>
      </c>
    </row>
    <row r="8" customFormat="false" ht="12.75" hidden="false" customHeight="true" outlineLevel="0" collapsed="false">
      <c r="A8" s="3" t="s">
        <v>580</v>
      </c>
      <c r="B8" s="3" t="s">
        <v>581</v>
      </c>
      <c r="C8" s="3" t="s">
        <v>557</v>
      </c>
      <c r="D8" s="3" t="s">
        <v>582</v>
      </c>
      <c r="E8" s="3" t="s">
        <v>583</v>
      </c>
    </row>
    <row r="9" customFormat="false" ht="12.75" hidden="false" customHeight="true" outlineLevel="0" collapsed="false">
      <c r="A9" s="7" t="s">
        <v>584</v>
      </c>
      <c r="B9" s="7" t="s">
        <v>585</v>
      </c>
      <c r="C9" s="21" t="s">
        <v>586</v>
      </c>
      <c r="D9" s="7" t="s">
        <v>587</v>
      </c>
      <c r="E9" s="7" t="s">
        <v>588</v>
      </c>
    </row>
    <row r="10" customFormat="false" ht="12.75" hidden="false" customHeight="true" outlineLevel="0" collapsed="false">
      <c r="A10" s="3" t="s">
        <v>589</v>
      </c>
      <c r="B10" s="3" t="s">
        <v>590</v>
      </c>
      <c r="C10" s="21" t="s">
        <v>586</v>
      </c>
      <c r="D10" s="3" t="s">
        <v>591</v>
      </c>
      <c r="E10" s="3" t="s">
        <v>588</v>
      </c>
    </row>
    <row r="11" customFormat="false" ht="12.75" hidden="false" customHeight="true" outlineLevel="0" collapsed="false">
      <c r="A11" s="7" t="s">
        <v>592</v>
      </c>
      <c r="B11" s="7" t="s">
        <v>593</v>
      </c>
      <c r="C11" s="21" t="s">
        <v>594</v>
      </c>
      <c r="D11" s="7" t="s">
        <v>595</v>
      </c>
      <c r="E11" s="7" t="s">
        <v>596</v>
      </c>
    </row>
    <row r="12" customFormat="false" ht="15" hidden="false" customHeight="false" outlineLevel="0" collapsed="false">
      <c r="A12" s="18"/>
      <c r="B12" s="18"/>
      <c r="C12" s="18"/>
      <c r="D12" s="18"/>
      <c r="E12" s="18"/>
    </row>
    <row r="13" customFormat="false" ht="21.75" hidden="false" customHeight="true" outlineLevel="0" collapsed="false">
      <c r="A13" s="22" t="s">
        <v>597</v>
      </c>
      <c r="B13" s="18"/>
      <c r="C13" s="18"/>
      <c r="D13" s="18"/>
      <c r="E13"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5"/>
    <col collapsed="false" customWidth="true" hidden="false" outlineLevel="0" max="2" min="2" style="1" width="34"/>
    <col collapsed="false" customWidth="true" hidden="false" outlineLevel="0" max="3" min="3" style="1" width="14"/>
    <col collapsed="false" customWidth="true" hidden="false" outlineLevel="0" max="4" min="4" style="1" width="52"/>
    <col collapsed="false" customWidth="true" hidden="false" outlineLevel="0" max="5" min="5" style="1" width="40"/>
  </cols>
  <sheetData>
    <row r="1" customFormat="false" ht="12.75" hidden="false" customHeight="true" outlineLevel="0" collapsed="false">
      <c r="A1" s="2" t="s">
        <v>0</v>
      </c>
      <c r="B1" s="2" t="s">
        <v>598</v>
      </c>
      <c r="C1" s="2" t="s">
        <v>599</v>
      </c>
      <c r="D1" s="2" t="s">
        <v>600</v>
      </c>
      <c r="E1" s="2" t="s">
        <v>601</v>
      </c>
    </row>
    <row r="2" customFormat="false" ht="34.5" hidden="false" customHeight="true" outlineLevel="0" collapsed="false">
      <c r="A2" s="3" t="n">
        <v>1</v>
      </c>
      <c r="B2" s="4" t="s">
        <v>602</v>
      </c>
      <c r="C2" s="12" t="s">
        <v>603</v>
      </c>
      <c r="D2" s="3" t="s">
        <v>604</v>
      </c>
      <c r="E2" s="3" t="s">
        <v>605</v>
      </c>
    </row>
    <row r="3" customFormat="false" ht="34.5" hidden="false" customHeight="true" outlineLevel="0" collapsed="false">
      <c r="A3" s="7" t="n">
        <v>2</v>
      </c>
      <c r="B3" s="8" t="s">
        <v>606</v>
      </c>
      <c r="C3" s="12" t="s">
        <v>603</v>
      </c>
      <c r="D3" s="7" t="s">
        <v>607</v>
      </c>
      <c r="E3" s="7" t="s">
        <v>608</v>
      </c>
    </row>
    <row r="4" customFormat="false" ht="34.5" hidden="false" customHeight="true" outlineLevel="0" collapsed="false">
      <c r="A4" s="3" t="n">
        <v>3</v>
      </c>
      <c r="B4" s="4" t="s">
        <v>609</v>
      </c>
      <c r="C4" s="12" t="s">
        <v>603</v>
      </c>
      <c r="D4" s="3" t="s">
        <v>610</v>
      </c>
      <c r="E4" s="3" t="s">
        <v>611</v>
      </c>
    </row>
    <row r="5" customFormat="false" ht="23.25" hidden="false" customHeight="true" outlineLevel="0" collapsed="false">
      <c r="A5" s="7" t="n">
        <v>4</v>
      </c>
      <c r="B5" s="8" t="s">
        <v>612</v>
      </c>
      <c r="C5" s="13" t="s">
        <v>603</v>
      </c>
      <c r="D5" s="7" t="s">
        <v>613</v>
      </c>
      <c r="E5" s="7" t="s">
        <v>614</v>
      </c>
    </row>
    <row r="6" customFormat="false" ht="23.25" hidden="false" customHeight="true" outlineLevel="0" collapsed="false">
      <c r="A6" s="3" t="n">
        <v>5</v>
      </c>
      <c r="B6" s="4" t="s">
        <v>615</v>
      </c>
      <c r="C6" s="13" t="s">
        <v>616</v>
      </c>
      <c r="D6" s="3" t="s">
        <v>617</v>
      </c>
      <c r="E6" s="3" t="s">
        <v>618</v>
      </c>
    </row>
    <row r="7" customFormat="false" ht="23.25" hidden="false" customHeight="true" outlineLevel="0" collapsed="false">
      <c r="A7" s="7" t="n">
        <v>6</v>
      </c>
      <c r="B7" s="8" t="s">
        <v>619</v>
      </c>
      <c r="C7" s="13" t="s">
        <v>616</v>
      </c>
      <c r="D7" s="7" t="s">
        <v>620</v>
      </c>
      <c r="E7" s="7" t="s">
        <v>621</v>
      </c>
    </row>
    <row r="8" customFormat="false" ht="12.75" hidden="false" customHeight="true" outlineLevel="0" collapsed="false">
      <c r="A8" s="3" t="n">
        <v>7</v>
      </c>
      <c r="B8" s="4" t="s">
        <v>622</v>
      </c>
      <c r="C8" s="13" t="s">
        <v>603</v>
      </c>
      <c r="D8" s="3" t="s">
        <v>623</v>
      </c>
      <c r="E8" s="3" t="s">
        <v>624</v>
      </c>
    </row>
    <row r="9" customFormat="false" ht="34.5" hidden="false" customHeight="true" outlineLevel="0" collapsed="false">
      <c r="A9" s="7" t="n">
        <v>8</v>
      </c>
      <c r="B9" s="8" t="s">
        <v>625</v>
      </c>
      <c r="C9" s="12" t="s">
        <v>603</v>
      </c>
      <c r="D9" s="7" t="s">
        <v>226</v>
      </c>
      <c r="E9" s="7" t="s">
        <v>626</v>
      </c>
    </row>
    <row r="10" customFormat="false" ht="23.85" hidden="false" customHeight="false" outlineLevel="0" collapsed="false">
      <c r="A10" s="20" t="n">
        <v>9</v>
      </c>
      <c r="B10" s="20" t="s">
        <v>627</v>
      </c>
      <c r="C10" s="20" t="s">
        <v>616</v>
      </c>
      <c r="D10" s="20" t="s">
        <v>628</v>
      </c>
      <c r="E10" s="20" t="s">
        <v>629</v>
      </c>
    </row>
    <row r="11" customFormat="false" ht="15" hidden="false" customHeight="false" outlineLevel="0" collapsed="false">
      <c r="A11" s="18"/>
      <c r="B11" s="18"/>
      <c r="C11" s="18"/>
      <c r="D11" s="18"/>
      <c r="E11" s="18"/>
    </row>
    <row r="12" customFormat="false" ht="15" hidden="false" customHeight="false" outlineLevel="0" collapsed="false">
      <c r="A12" s="18"/>
      <c r="B12" s="18"/>
      <c r="C12" s="18"/>
      <c r="D12" s="18"/>
      <c r="E12" s="18"/>
    </row>
    <row r="13" customFormat="false" ht="15" hidden="false" customHeight="false" outlineLevel="0" collapsed="false">
      <c r="A13" s="18"/>
      <c r="B13" s="18"/>
      <c r="C13" s="18"/>
      <c r="D13" s="18"/>
      <c r="E13"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0"/>
    <col collapsed="false" customWidth="true" hidden="false" outlineLevel="0" max="2" min="2" style="1" width="12"/>
    <col collapsed="false" customWidth="true" hidden="false" outlineLevel="0" max="3" min="3" style="1" width="14"/>
    <col collapsed="false" customWidth="true" hidden="false" outlineLevel="0" max="4" min="4" style="1" width="60"/>
  </cols>
  <sheetData>
    <row r="1" customFormat="false" ht="12.75" hidden="false" customHeight="true" outlineLevel="0" collapsed="false">
      <c r="A1" s="2" t="s">
        <v>630</v>
      </c>
      <c r="B1" s="2" t="s">
        <v>631</v>
      </c>
      <c r="C1" s="2" t="s">
        <v>6</v>
      </c>
      <c r="D1" s="2" t="s">
        <v>632</v>
      </c>
    </row>
    <row r="2" customFormat="false" ht="12.75" hidden="false" customHeight="true" outlineLevel="0" collapsed="false">
      <c r="A2" s="3" t="s">
        <v>633</v>
      </c>
      <c r="B2" s="3" t="n">
        <v>123</v>
      </c>
      <c r="C2" s="5" t="s">
        <v>634</v>
      </c>
      <c r="D2" s="3" t="s">
        <v>635</v>
      </c>
    </row>
    <row r="3" customFormat="false" ht="12.75" hidden="false" customHeight="true" outlineLevel="0" collapsed="false">
      <c r="A3" s="7" t="s">
        <v>636</v>
      </c>
      <c r="B3" s="7" t="n">
        <v>88</v>
      </c>
      <c r="C3" s="5" t="s">
        <v>634</v>
      </c>
      <c r="D3" s="7" t="s">
        <v>637</v>
      </c>
    </row>
    <row r="4" customFormat="false" ht="12.75" hidden="false" customHeight="true" outlineLevel="0" collapsed="false">
      <c r="A4" s="3" t="s">
        <v>638</v>
      </c>
      <c r="B4" s="3" t="n">
        <v>55</v>
      </c>
      <c r="C4" s="5" t="s">
        <v>634</v>
      </c>
      <c r="D4" s="3" t="s">
        <v>639</v>
      </c>
    </row>
    <row r="5" customFormat="false" ht="12.75" hidden="false" customHeight="true" outlineLevel="0" collapsed="false">
      <c r="A5" s="7" t="s">
        <v>640</v>
      </c>
      <c r="B5" s="7" t="n">
        <v>42</v>
      </c>
      <c r="C5" s="5" t="s">
        <v>634</v>
      </c>
      <c r="D5" s="7" t="s">
        <v>641</v>
      </c>
    </row>
    <row r="6" customFormat="false" ht="12.75" hidden="false" customHeight="true" outlineLevel="0" collapsed="false">
      <c r="A6" s="3" t="s">
        <v>642</v>
      </c>
      <c r="B6" s="3" t="n">
        <v>33</v>
      </c>
      <c r="C6" s="5" t="s">
        <v>634</v>
      </c>
      <c r="D6" s="3" t="s">
        <v>643</v>
      </c>
    </row>
    <row r="7" customFormat="false" ht="12.75" hidden="false" customHeight="true" outlineLevel="0" collapsed="false">
      <c r="A7" s="7" t="s">
        <v>644</v>
      </c>
      <c r="B7" s="7" t="n">
        <v>28</v>
      </c>
      <c r="C7" s="5" t="s">
        <v>634</v>
      </c>
      <c r="D7" s="7" t="s">
        <v>645</v>
      </c>
    </row>
    <row r="8" customFormat="false" ht="12.75" hidden="false" customHeight="true" outlineLevel="0" collapsed="false">
      <c r="A8" s="3" t="s">
        <v>646</v>
      </c>
      <c r="B8" s="3" t="n">
        <v>12</v>
      </c>
      <c r="C8" s="5" t="s">
        <v>634</v>
      </c>
      <c r="D8" s="3" t="s">
        <v>647</v>
      </c>
    </row>
    <row r="9" customFormat="false" ht="13.5" hidden="false" customHeight="true" outlineLevel="0" collapsed="false">
      <c r="A9" s="4" t="s">
        <v>648</v>
      </c>
      <c r="B9" s="4" t="n">
        <v>10</v>
      </c>
      <c r="C9" s="20" t="s">
        <v>634</v>
      </c>
      <c r="D9" s="20" t="s">
        <v>649</v>
      </c>
    </row>
    <row r="10" customFormat="false" ht="15" hidden="false" customHeight="false" outlineLevel="0" collapsed="false">
      <c r="A10" s="20" t="s">
        <v>650</v>
      </c>
      <c r="B10" s="20" t="n">
        <v>4</v>
      </c>
      <c r="C10" s="20" t="s">
        <v>634</v>
      </c>
      <c r="D10" s="20" t="s">
        <v>651</v>
      </c>
    </row>
    <row r="11" customFormat="false" ht="15" hidden="false" customHeight="false" outlineLevel="0" collapsed="false">
      <c r="A11" s="20" t="s">
        <v>652</v>
      </c>
      <c r="B11" s="20" t="n">
        <v>14</v>
      </c>
      <c r="C11" s="20" t="s">
        <v>634</v>
      </c>
      <c r="D11" s="20" t="s">
        <v>653</v>
      </c>
    </row>
    <row r="12" customFormat="false" ht="15" hidden="false" customHeight="false" outlineLevel="0" collapsed="false">
      <c r="A12" s="20" t="s">
        <v>654</v>
      </c>
      <c r="B12" s="20" t="n">
        <v>409</v>
      </c>
      <c r="C12" s="20" t="s">
        <v>634</v>
      </c>
      <c r="D12" s="20" t="s">
        <v>655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2026-09-12T16:21:35Z</dcterms:created>
  <dc:creator>openpyxl</dc:creator>
  <dc:description/>
  <dc:language>en-IN</dc:language>
  <cp:lastModifiedBy/>
  <dcterms:modified xsi:type="dcterms:W3CDTF">2026-09-16T07:09:28Z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