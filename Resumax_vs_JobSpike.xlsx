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Feature Comparison" sheetId="2" state="visible" r:id="rId4"/>
    <sheet name="What To Improve" sheetId="3" state="visible" r:id="rId5"/>
    <sheet name="Where We Lead" sheetId="4" state="visible" r:id="rId6"/>
  </sheets>
  <definedNames>
    <definedName function="false" hidden="true" localSheetId="1" name="_xlnm._FilterDatabase" vbProcedure="false">'Feature Comparison'!$A$1:$F$35</definedName>
    <definedName function="false" hidden="true" localSheetId="2" name="_xlnm._FilterDatabase" vbProcedure="false">'What To Improve'!$A$1:$H$21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<sst xmlns="http://schemas.openxmlformats.org/spreadsheetml/2006/main" count="423" uniqueCount="281">
  <si>
    <t xml:space="preserve">Resumax vs JobSpike - competitor review</t>
  </si>
  <si>
    <t xml:space="preserve">Researched 13 Sep 2026 from resumax.ai (homepage, pricing, jobs, resume-score, roadmaps, projects, guides, MCP, about, sitemap) and the JobSpike codebase.</t>
  </si>
  <si>
    <t xml:space="preserve">How do they get jobs?</t>
  </si>
  <si>
    <t xml:space="preserve">From employers' own job boards (e.g. Greenhouse) plus 'trusted feeds' - '11 source families', checked daily. Same idea as ours. Tech jobs only.</t>
  </si>
  <si>
    <t xml:space="preserve">How many jobs do they have?</t>
  </si>
  <si>
    <t xml:space="preserve">12,842 'verified employer postings' (their number). We had about 18,000 when last counted - more than them, but across all industries.</t>
  </si>
  <si>
    <t xml:space="preserve">How do they analyze resumes?</t>
  </si>
  <si>
    <t xml:space="preserve">AI 'recruiter-style review', 0-100 score (ATS readability, content, writing, job match, readiness). A free public score page checks impact, verbs, language, structure, length, contact info in the browser. AI rewrites need your approval.</t>
  </si>
  <si>
    <t xml:space="preserve">What do they have that we don't?</t>
  </si>
  <si>
    <t xml:space="preserve">Public job board (no login), Google-indexable job &amp; company pages, DOCX/paste upload, graded AI mock interviews, roadmaps, project library, AI chat assistant, ChatGPT/Claude connector, and 500+ SEO content pages.</t>
  </si>
  <si>
    <t xml:space="preserve">Where are we ahead?</t>
  </si>
  <si>
    <t xml:space="preserve">Free PDF/Word export and no usage caps (they charge), more job filters, match % on every job, a deeper report, all industries.</t>
  </si>
  <si>
    <t xml:space="preserve">Top 3 things to do next</t>
  </si>
  <si>
    <t xml:space="preserve">1) Let people browse jobs without logging in.  2) Public page per job + company, in the sitemap.  3) Accept DOCX and pasted resumes.</t>
  </si>
  <si>
    <t xml:space="preserve">Scoreboard (live formulas)</t>
  </si>
  <si>
    <t xml:space="preserve">Features compared</t>
  </si>
  <si>
    <t xml:space="preserve">Missing (they have, we don't)</t>
  </si>
  <si>
    <t xml:space="preserve">Partial</t>
  </si>
  <si>
    <t xml:space="preserve">Even</t>
  </si>
  <si>
    <t xml:space="preserve">We lead</t>
  </si>
  <si>
    <t xml:space="preserve">Improvements listed</t>
  </si>
  <si>
    <t xml:space="preserve">High-priority improvements</t>
  </si>
  <si>
    <t xml:space="preserve">Improvements done</t>
  </si>
  <si>
    <t xml:space="preserve">Caveats</t>
  </si>
  <si>
    <t xml:space="preserve">- Resumax numbers are their own published claims, not independently verified.</t>
  </si>
  <si>
    <t xml:space="preserve">- JobSpike's current job count was NOT re-measured today (database connector not authorized); ~18,000 is the last count.</t>
  </si>
  <si>
    <t xml:space="preserve">- Paid-plan features of Resumax (Atlas chat, tailoring, mock interviews) were read from their public pages, not tried with an account.</t>
  </si>
  <si>
    <t xml:space="preserve">- Suggestions respect JobSpike rules: free services only, honest copy (built by a student), no LinkedIn (16+ minimum age).</t>
  </si>
  <si>
    <t xml:space="preserve">Sources</t>
  </si>
  <si>
    <t xml:space="preserve">https://resumax.ai/</t>
  </si>
  <si>
    <t xml:space="preserve">https://resumax.ai/pricing</t>
  </si>
  <si>
    <t xml:space="preserve">https://resumax.ai/career-market</t>
  </si>
  <si>
    <t xml:space="preserve">https://resumax.ai/resume-score</t>
  </si>
  <si>
    <t xml:space="preserve">https://resumax.ai/roadmaps</t>
  </si>
  <si>
    <t xml:space="preserve">https://resumax.ai/projects</t>
  </si>
  <si>
    <t xml:space="preserve">https://resumax.ai/guides</t>
  </si>
  <si>
    <t xml:space="preserve">https://resumax.ai/mcp</t>
  </si>
  <si>
    <t xml:space="preserve">https://resumax.ai/about</t>
  </si>
  <si>
    <t xml:space="preserve">https://resumax.ai/compare</t>
  </si>
  <si>
    <t xml:space="preserve">https://resumax.ai/sitemap.xml</t>
  </si>
  <si>
    <t xml:space="preserve">Area</t>
  </si>
  <si>
    <t xml:space="preserve">Feature</t>
  </si>
  <si>
    <t xml:space="preserve">Resumax (resumax.ai)</t>
  </si>
  <si>
    <t xml:space="preserve">JobSpike (today)</t>
  </si>
  <si>
    <t xml:space="preserve">Status</t>
  </si>
  <si>
    <t xml:space="preserve">Notes</t>
  </si>
  <si>
    <t xml:space="preserve">Jobs</t>
  </si>
  <si>
    <t xml:space="preserve">Total job count</t>
  </si>
  <si>
    <t xml:space="preserve">12,842 'verified employer postings' (their homepage, Sep 2026). Earlier claimed '700+ tech companies tracked'.</t>
  </si>
  <si>
    <t xml:space="preserve">Roughly 18,000 rows when last counted (Aug 2026). Today's count NOT measured - DB tool was not authorized this session.</t>
  </si>
  <si>
    <t xml:space="preserve">Ours is bigger, but theirs is tech-only so a tech user sees more relevant roles per page.</t>
  </si>
  <si>
    <t xml:space="preserve">Where jobs come from</t>
  </si>
  <si>
    <t xml:space="preserve">'Direct employer boards and trusted feeds', '11 source families'. Detail pages link to the employer's Greenhouse board.</t>
  </si>
  <si>
    <t xml:space="preserve">Employers' own public job boards on 8 platforms (Greenhouse, Workday, Ashby, SmartRecruiters, Lever, Recruitee, Workable, Breezy). 319 companies live; 476 in the not-yet-pushed registry.</t>
  </si>
  <si>
    <t xml:space="preserve">Same approach. They say 11 source types vs our 8.</t>
  </si>
  <si>
    <t xml:space="preserve">Refresh / dead-job removal</t>
  </si>
  <si>
    <t xml:space="preserve">Daily feed checks; shows 'last availability check Sep 11' on the page.</t>
  </si>
  <si>
    <t xml:space="preserve">Sync cycles every few hours; dead jobs removed per company, anything unseen 21 days deleted. Last cycle finished 7.6h ago (live /api/health).</t>
  </si>
  <si>
    <t xml:space="preserve">Our refresh is as good or better, but we never SHOW users when jobs were last checked. They do - it builds trust.</t>
  </si>
  <si>
    <t xml:space="preserve">Browse jobs without an account</t>
  </si>
  <si>
    <t xml:space="preserve">Yes - anyone can search, no sign-in.</t>
  </si>
  <si>
    <t xml:space="preserve">No - job search requires login (/api/jobs/search is login_required).</t>
  </si>
  <si>
    <t xml:space="preserve">Missing</t>
  </si>
  <si>
    <t xml:space="preserve">Biggest gap. Visitors can't see our best feature before signing up, and Google can't index it.</t>
  </si>
  <si>
    <t xml:space="preserve">A public web page per job (Google-indexable)</t>
  </si>
  <si>
    <t xml:space="preserve">Yes - /career-market/jobs/&lt;company&gt;-&lt;title&gt;-&lt;id&gt;, with salary, description, apply link.</t>
  </si>
  <si>
    <t xml:space="preserve">No - jobs only appear inside the logged-in app.</t>
  </si>
  <si>
    <t xml:space="preserve">This is how job sites get free Google traffic.</t>
  </si>
  <si>
    <t xml:space="preserve">Tech-only focus</t>
  </si>
  <si>
    <t xml:space="preserve">Only tech roles (SWE, ML, data, security...).</t>
  </si>
  <si>
    <t xml:space="preserve">All job types, all industries.</t>
  </si>
  <si>
    <t xml:space="preserve">Strategy choice, not a bug. Being broad helps non-tech users; being narrow makes their feed feel sharper.</t>
  </si>
  <si>
    <t xml:space="preserve">Filters</t>
  </si>
  <si>
    <t xml:space="preserve">Keyword, location, workplace (remote/on-site), date posted (24h/week/month/60d), experience level.</t>
  </si>
  <si>
    <t xml:space="preserve">Keyword, exclude words, country, work mode, experience level, employment type, salary, recency, 'no account needed to apply'.</t>
  </si>
  <si>
    <t xml:space="preserve">We have more filters than they do.</t>
  </si>
  <si>
    <t xml:space="preserve">Shareable filter links</t>
  </si>
  <si>
    <t xml:space="preserve">Filters are saved in the URL so you can share a search.</t>
  </si>
  <si>
    <t xml:space="preserve">Not checked / not a feature we advertise.</t>
  </si>
  <si>
    <t xml:space="preserve">Small, easy win.</t>
  </si>
  <si>
    <t xml:space="preserve">Curated one-click presets</t>
  </si>
  <si>
    <t xml:space="preserve">'Market desks': Just posted, AI + ML, Remote, Early career, Staff+.</t>
  </si>
  <si>
    <t xml:space="preserve">No presets - user sets filters manually.</t>
  </si>
  <si>
    <t xml:space="preserve">Cheap to add; makes the page feel curated.</t>
  </si>
  <si>
    <t xml:space="preserve">Match score on job cards</t>
  </si>
  <si>
    <t xml:space="preserve">Not shown on public cards (fit guidance only after saving a role).</t>
  </si>
  <si>
    <t xml:space="preserve">AI match % per card + 'For You' resume-matched shortlist.</t>
  </si>
  <si>
    <t xml:space="preserve">'Tailor resume for this job' button</t>
  </si>
  <si>
    <t xml:space="preserve">On every job card and detail page.</t>
  </si>
  <si>
    <t xml:space="preserve">Match + Improve exist, but not a one-click tailor from each job card.</t>
  </si>
  <si>
    <t xml:space="preserve">Connect Browse -&gt; Improve with the job description pre-filled.</t>
  </si>
  <si>
    <t xml:space="preserve">Company pages</t>
  </si>
  <si>
    <t xml:space="preserve">300+ /companies/* pages in their sitemap.</t>
  </si>
  <si>
    <t xml:space="preserve">None.</t>
  </si>
  <si>
    <t xml:space="preserve">We already have the data (jobs grouped by company) - just no public page.</t>
  </si>
  <si>
    <t xml:space="preserve">Resume analysis</t>
  </si>
  <si>
    <t xml:space="preserve">How they score</t>
  </si>
  <si>
    <t xml:space="preserve">'Recruiter-style review' 0-100. Categories: ATS readability, content quality, writing, job match, application readiness. Flags weak bullets, proposes rewrites.</t>
  </si>
  <si>
    <t xml:space="preserve">AI ATS report: overall score + 6 dimensions (clarity, experience, skills, ATS readiness, impact, completeness), recruiter verdict, keyword match, verb strength, missing metrics, readiness for junior/mid/senior/FAANG/startup, radar chart.</t>
  </si>
  <si>
    <t xml:space="preserve">Our report is deeper than what they publicly show.</t>
  </si>
  <si>
    <t xml:space="preserve">Free instant score tool</t>
  </si>
  <si>
    <t xml:space="preserve">/resume-score: runs in the browser, 'nothing is uploaded until you choose to'. Checks impact, action verbs, language, structure, brevity, contact.</t>
  </si>
  <si>
    <t xml:space="preserve">Analysis runs through the AI on our server; no quick no-signup checker page promoted for Google.</t>
  </si>
  <si>
    <t xml:space="preserve">A free public 'score my resume' page is a big sign-up funnel for them.</t>
  </si>
  <si>
    <t xml:space="preserve">Upload formats</t>
  </si>
  <si>
    <t xml:space="preserve">PDF, DOCX, or paste text.</t>
  </si>
  <si>
    <t xml:space="preserve">PDF and TXT only (analysis.py rejects everything else).</t>
  </si>
  <si>
    <t xml:space="preserve">Many students write in Word/Google Docs. DOCX + paste is a real gap.</t>
  </si>
  <si>
    <t xml:space="preserve">Approve each AI change</t>
  </si>
  <si>
    <t xml:space="preserve">Every rewrite is shown for approval; 'never invent experience'.</t>
  </si>
  <si>
    <t xml:space="preserve">Improve shows a diff with Accept/Reject for the whole rewrite.</t>
  </si>
  <si>
    <t xml:space="preserve">Per-bullet accept/reject would match them.</t>
  </si>
  <si>
    <t xml:space="preserve">Resume builder</t>
  </si>
  <si>
    <t xml:space="preserve">Templates</t>
  </si>
  <si>
    <t xml:space="preserve">5 named templates: Jake's Resume, Harvard, MIT, Stanford, Deedy. Pro plan needed for PDF/DOCX export.</t>
  </si>
  <si>
    <t xml:space="preserve">9 templates (modern, executive, creative, minimalist, technical, academic, compact, impact, campus). PDF + DOCX export free.</t>
  </si>
  <si>
    <t xml:space="preserve">We have more, but theirs are the famous ones students search for (esp. 'Jake's Resume').</t>
  </si>
  <si>
    <t xml:space="preserve">Export PDF / Word</t>
  </si>
  <si>
    <t xml:space="preserve">Paid only (Free plan has no export).</t>
  </si>
  <si>
    <t xml:space="preserve">Free.</t>
  </si>
  <si>
    <t xml:space="preserve">Strong selling point - say it on the landing page.</t>
  </si>
  <si>
    <t xml:space="preserve">Career tools</t>
  </si>
  <si>
    <t xml:space="preserve">Cover letters</t>
  </si>
  <si>
    <t xml:space="preserve">Yes (1 preview free, 30/mo Pro).</t>
  </si>
  <si>
    <t xml:space="preserve">Yes, free - shows which resume facts it used and what to fill in.</t>
  </si>
  <si>
    <t xml:space="preserve">Application tracker</t>
  </si>
  <si>
    <t xml:space="preserve">Yes ('Track').</t>
  </si>
  <si>
    <t xml:space="preserve">Yes (Pipeline tab).</t>
  </si>
  <si>
    <t xml:space="preserve">Interview question list for a job</t>
  </si>
  <si>
    <t xml:space="preserve">Yes, plus 31 company guides with 556 questions.</t>
  </si>
  <si>
    <t xml:space="preserve">Yes - likely questions tied to your resume, gaps to prepare, questions to ask.</t>
  </si>
  <si>
    <t xml:space="preserve">We generate per job; they also have a public question bank.</t>
  </si>
  <si>
    <t xml:space="preserve">AI mock interview that grades your answers</t>
  </si>
  <si>
    <t xml:space="preserve">Yes - 'free AI mock that grades your real answers'; behavioral practice 50/mo Pro.</t>
  </si>
  <si>
    <t xml:space="preserve">No - we list questions but you can't answer and get graded.</t>
  </si>
  <si>
    <t xml:space="preserve">High value. Doable on free Groq.</t>
  </si>
  <si>
    <t xml:space="preserve">System design practice</t>
  </si>
  <si>
    <t xml:space="preserve">12 topic explainers + 8-30 AI sessions/mo on paid plans.</t>
  </si>
  <si>
    <t xml:space="preserve">Tech-only feature; low priority for a general audience.</t>
  </si>
  <si>
    <t xml:space="preserve">AI chat assistant ('Atlas')</t>
  </si>
  <si>
    <t xml:space="preserve">Chat agent that remembers your career context; 50-200 'turns' a day on paid plans.</t>
  </si>
  <si>
    <t xml:space="preserve">None - features are separate buttons.</t>
  </si>
  <si>
    <t xml:space="preserve">Career roadmaps</t>
  </si>
  <si>
    <t xml:space="preserve">14 role roadmaps (Frontend, Backend, DevOps, ML, Data, Security, QA...). Each: 5-10 stages, 20-38 skills, 41-77 free resources, projects.</t>
  </si>
  <si>
    <t xml:space="preserve">Goals section only; no roadmaps.</t>
  </si>
  <si>
    <t xml:space="preserve">Good fit for students; mostly content, little code.</t>
  </si>
  <si>
    <t xml:space="preserve">Portfolio project ideas</t>
  </si>
  <si>
    <t xml:space="preserve">81-82 projects (beginner -&gt; pro) across 11 tracks, each with a build guide. 22 free.</t>
  </si>
  <si>
    <t xml:space="preserve">Salary data</t>
  </si>
  <si>
    <t xml:space="preserve">15 big-tech companies: base, RSUs, bonus, levels (US-only, approximate).</t>
  </si>
  <si>
    <t xml:space="preserve">Salary range on listings + salary filter only.</t>
  </si>
  <si>
    <t xml:space="preserve">Don't copy their numbers; only publish salary data we can source honestly.</t>
  </si>
  <si>
    <t xml:space="preserve">Use it from ChatGPT / Claude (MCP)</t>
  </si>
  <si>
    <t xml:space="preserve">Yes - free to connect; find roles, review, tailor, interview, track from inside ChatGPT, Claude, Codex.</t>
  </si>
  <si>
    <t xml:space="preserve">Novel but niche.</t>
  </si>
  <si>
    <t xml:space="preserve">Marketing &amp; SEO</t>
  </si>
  <si>
    <t xml:space="preserve">Pages Google can find</t>
  </si>
  <si>
    <t xml:space="preserve">Sitemap has 500+ URLs: guides, companies, jobs, salaries, interview questions, compare, 'best of' lists, projects, roadmaps.</t>
  </si>
  <si>
    <t xml:space="preserve">Sitemap lists 3 pages (home, login, register).</t>
  </si>
  <si>
    <t xml:space="preserve">Their whole growth engine. Ours is effectively invisible to search.</t>
  </si>
  <si>
    <t xml:space="preserve">Competitor comparison pages</t>
  </si>
  <si>
    <t xml:space="preserve">24+ 'ResuMax vs X' pages (Teal, Jobscan, Rezi, Simplify, JobRight, Huntr, ChatGPT, LinkedIn...) + 12 'alternatives' + 15 'best of' lists.</t>
  </si>
  <si>
    <t xml:space="preserve">Must be factual - no invented claims about competitors.</t>
  </si>
  <si>
    <t xml:space="preserve">Guides / examples</t>
  </si>
  <si>
    <t xml:space="preserve">6 long guides, 10 resume examples, 6 cover letter examples, 11 behavioral topics.</t>
  </si>
  <si>
    <t xml:space="preserve">About / founder page</t>
  </si>
  <si>
    <t xml:space="preserve">Names founder (ex-Amazon engineer), launch date Oct 2025, '15,000+ job seekers', '29,000+ resumes'.</t>
  </si>
  <si>
    <t xml:space="preserve">Ours must be honest: a student who built a tool. Only real usage numbers.</t>
  </si>
  <si>
    <t xml:space="preserve">Social media</t>
  </si>
  <si>
    <t xml:space="preserve">Instagram, TikTok, YouTube linked in footer.</t>
  </si>
  <si>
    <t xml:space="preserve">None linked.</t>
  </si>
  <si>
    <t xml:space="preserve">Instagram/TikTok/YouTube allow 13+. LinkedIn does not (16+).</t>
  </si>
  <si>
    <t xml:space="preserve">Business</t>
  </si>
  <si>
    <t xml:space="preserve">Paid plans</t>
  </si>
  <si>
    <t xml:space="preserve">Free / Pro $29 ($12 yearly) / Premium $49 ($17 yearly), $2.95 7-day trial. Free: 5 scores/mo, 3 tailoring previews.</t>
  </si>
  <si>
    <t xml:space="preserve">Everything free, no usage caps shown.</t>
  </si>
  <si>
    <t xml:space="preserve">Free-with-no-caps is our edge. Charging money would need a payment account an adult owns - not now.</t>
  </si>
  <si>
    <t xml:space="preserve">#</t>
  </si>
  <si>
    <t xml:space="preserve">What to build / improve</t>
  </si>
  <si>
    <t xml:space="preserve">Why it matters</t>
  </si>
  <si>
    <t xml:space="preserve">Priority</t>
  </si>
  <si>
    <t xml:space="preserve">Effort</t>
  </si>
  <si>
    <t xml:space="preserve">Free to run?</t>
  </si>
  <si>
    <t xml:space="preserve">How (short)</t>
  </si>
  <si>
    <t xml:space="preserve">Done?</t>
  </si>
  <si>
    <t xml:space="preserve">Public job board - browse without logging in</t>
  </si>
  <si>
    <t xml:space="preserve">Our best feature is hidden behind sign-up. Resumax lets anyone search.</t>
  </si>
  <si>
    <t xml:space="preserve">High</t>
  </si>
  <si>
    <t xml:space="preserve">Medium</t>
  </si>
  <si>
    <t xml:space="preserve">Yes</t>
  </si>
  <si>
    <t xml:space="preserve">Remove login_required from job search for read-only browsing (keep rate limit); keep match/track behind login.</t>
  </si>
  <si>
    <t xml:space="preserve">No</t>
  </si>
  <si>
    <t xml:space="preserve">Public page for every job + company pages, in the sitemap</t>
  </si>
  <si>
    <t xml:space="preserve">Free Google traffic. Resumax has 300+ company pages and a page per job; our sitemap has 3 URLs.</t>
  </si>
  <si>
    <t xml:space="preserve">Server-render /jobs/&lt;slug&gt; and /companies/&lt;slug&gt; from ats_jobs; generate sitemap from the table; add JobPosting structured data.</t>
  </si>
  <si>
    <t xml:space="preserve">Accept DOCX uploads and pasted text</t>
  </si>
  <si>
    <t xml:space="preserve">Resumax takes PDF, DOCX and paste. We reject DOCX, which students often use.</t>
  </si>
  <si>
    <t xml:space="preserve">Low</t>
  </si>
  <si>
    <t xml:space="preserve">Add python-docx parsing + a paste box in the upload modal.</t>
  </si>
  <si>
    <t xml:space="preserve">Resumax's free hook. We already generate the questions - the next step is grading answers.</t>
  </si>
  <si>
    <t xml:space="preserve">Yes (Groq)</t>
  </si>
  <si>
    <t xml:space="preserve">User types/speaks an answer -&gt; AI scores it (STAR structure, evidence, clarity) and suggests a better answer grounded in the resume.</t>
  </si>
  <si>
    <t xml:space="preserve">Free 'score my resume' landing page</t>
  </si>
  <si>
    <t xml:space="preserve">Their /resume-score page is a top sign-up funnel.</t>
  </si>
  <si>
    <t xml:space="preserve">Public page reusing /api/analyze (already not login-gated); show a teaser score, full report after sign-up.</t>
  </si>
  <si>
    <t xml:space="preserve">'Tailor my resume for this job' button on each job</t>
  </si>
  <si>
    <t xml:space="preserve">They put it on every card; it links jobs -&gt; resume tools.</t>
  </si>
  <si>
    <t xml:space="preserve">Open Improve with that job's description pre-filled.</t>
  </si>
  <si>
    <t xml:space="preserve">Show 'jobs last checked X hours ago' on the job board</t>
  </si>
  <si>
    <t xml:space="preserve">They display their last availability check. We refresh more often but never say so.</t>
  </si>
  <si>
    <t xml:space="preserve">Read the jobs_freshness value /api/health already computes and show it above results.</t>
  </si>
  <si>
    <t xml:space="preserve">One-click presets (Just posted, Remote, Entry level, AI/ML)</t>
  </si>
  <si>
    <t xml:space="preserve">Makes the board feel curated. Resumax calls these 'market desks'.</t>
  </si>
  <si>
    <t xml:space="preserve">Buttons that set existing filters.</t>
  </si>
  <si>
    <t xml:space="preserve">Filters saved in the URL (shareable searches)</t>
  </si>
  <si>
    <t xml:space="preserve">Resumax: 'filters stay in the link when you share it'.</t>
  </si>
  <si>
    <t xml:space="preserve">Sync filter state to query string.</t>
  </si>
  <si>
    <t xml:space="preserve">Per-change accept/reject in Improve</t>
  </si>
  <si>
    <t xml:space="preserve">They approve every change individually; we accept/reject the whole rewrite.</t>
  </si>
  <si>
    <t xml:space="preserve">Split the diff into bullets with individual toggles.</t>
  </si>
  <si>
    <t xml:space="preserve">Famous student templates (Jake's Resume style, Harvard style)</t>
  </si>
  <si>
    <t xml:space="preserve">Students search for these names.</t>
  </si>
  <si>
    <t xml:space="preserve">Add a single-column Jake's-style template in builder + PDF/DOCX export. Use a generic name if a name is trademarked.</t>
  </si>
  <si>
    <t xml:space="preserve">Career roadmaps for common roles</t>
  </si>
  <si>
    <t xml:space="preserve">Resumax has 14; great fit for students and SEO.</t>
  </si>
  <si>
    <t xml:space="preserve">Static pages: stages, skills, free resources, sample projects. Link skills to job search.</t>
  </si>
  <si>
    <t xml:space="preserve">Guides + resume/cover letter example pages</t>
  </si>
  <si>
    <t xml:space="preserve">Content Google ranks. They have 6 guides, 10 resume examples, 6 cover letter examples.</t>
  </si>
  <si>
    <t xml:space="preserve">Write genuinely useful pages; no fake 'before/after' customer stories.</t>
  </si>
  <si>
    <t xml:space="preserve">Honest About page + social accounts</t>
  </si>
  <si>
    <t xml:space="preserve">They show a founder and user counts. Ours should say: built by a student.</t>
  </si>
  <si>
    <t xml:space="preserve">About page with real story; only real numbers. Instagram/TikTok/YouTube (13+), not LinkedIn.</t>
  </si>
  <si>
    <t xml:space="preserve">Factual comparison pages (JobSpike vs Jobscan/Teal/etc.)</t>
  </si>
  <si>
    <t xml:space="preserve">They have 24+ and rank for 'X alternative' searches.</t>
  </si>
  <si>
    <t xml:space="preserve">Only verifiable facts, e.g. 'free PDF/DOCX export'. Check each competitor claim before publishing.</t>
  </si>
  <si>
    <t xml:space="preserve">AI career chat assistant</t>
  </si>
  <si>
    <t xml:space="preserve">Their 'Atlas' ties all features into one chat that remembers your profile.</t>
  </si>
  <si>
    <t xml:space="preserve">Yes (Groq), rate-limited</t>
  </si>
  <si>
    <t xml:space="preserve">Later: chat that can call our existing endpoints (search, match, cover letter, prep).</t>
  </si>
  <si>
    <t xml:space="preserve">Portfolio project ideas library</t>
  </si>
  <si>
    <t xml:space="preserve">81 projects for them; helps students build experience.</t>
  </si>
  <si>
    <t xml:space="preserve">Curated list per role with a short build guide.</t>
  </si>
  <si>
    <t xml:space="preserve">Company salary guides</t>
  </si>
  <si>
    <t xml:space="preserve">They cover 15 big-tech companies.</t>
  </si>
  <si>
    <t xml:space="preserve">Only if an honest source exists; never invent figures.</t>
  </si>
  <si>
    <t xml:space="preserve">MCP connector (use JobSpike from ChatGPT/Claude)</t>
  </si>
  <si>
    <t xml:space="preserve">Novel, but a small audience.</t>
  </si>
  <si>
    <t xml:space="preserve">Expose job search + analysis as MCP tools with OAuth.</t>
  </si>
  <si>
    <t xml:space="preserve">Tech-only; we serve all job types.</t>
  </si>
  <si>
    <t xml:space="preserve">Skip unless we go tech-focused.</t>
  </si>
  <si>
    <t xml:space="preserve">Edit column H (Done?) as you ship items - the Summary tab counts them.</t>
  </si>
  <si>
    <t xml:space="preserve">What JobSpike does better</t>
  </si>
  <si>
    <t xml:space="preserve">Resumax</t>
  </si>
  <si>
    <t xml:space="preserve">JobSpike</t>
  </si>
  <si>
    <t xml:space="preserve">PDF + Word export is free</t>
  </si>
  <si>
    <t xml:space="preserve">Free plan has NO export; Pro ($12-29/mo) needed.</t>
  </si>
  <si>
    <t xml:space="preserve">Free for everyone.</t>
  </si>
  <si>
    <t xml:space="preserve">No usage caps</t>
  </si>
  <si>
    <t xml:space="preserve">Free: 5 resume scores/mo, 3 tailoring previews, 1 cover letter preview.</t>
  </si>
  <si>
    <t xml:space="preserve">No caps shown to users (only abuse rate limits).</t>
  </si>
  <si>
    <t xml:space="preserve">More job filters</t>
  </si>
  <si>
    <t xml:space="preserve">Location, workplace, date, level.</t>
  </si>
  <si>
    <t xml:space="preserve">Adds salary, employment type, exclude words, country, 'no account needed to apply'.</t>
  </si>
  <si>
    <t xml:space="preserve">Match % on every job + For You shortlist</t>
  </si>
  <si>
    <t xml:space="preserve">Fit guidance only after saving a role.</t>
  </si>
  <si>
    <t xml:space="preserve">AI match per card, resume-matched shortlist.</t>
  </si>
  <si>
    <t xml:space="preserve">Deeper analysis report</t>
  </si>
  <si>
    <t xml:space="preserve">0-100 score, 5 categories publicly described.</t>
  </si>
  <si>
    <t xml:space="preserve">6 dimensions, keyword match, verb strength, missing metrics, readiness by level (junior -&gt; FAANG), radar chart.</t>
  </si>
  <si>
    <t xml:space="preserve">All industries, not just tech</t>
  </si>
  <si>
    <t xml:space="preserve">Tech roles only.</t>
  </si>
  <si>
    <t xml:space="preserve">Any job type, incl. strong India coverage.</t>
  </si>
  <si>
    <t xml:space="preserve">Bigger job corpus (last measured)</t>
  </si>
  <si>
    <t xml:space="preserve">12,842 postings.</t>
  </si>
  <si>
    <t xml:space="preserve">About 18,000 rows last counted - re-check before quoting publicly.</t>
  </si>
  <si>
    <t xml:space="preserve">Workday employers</t>
  </si>
  <si>
    <t xml:space="preserve">Not stated.</t>
  </si>
  <si>
    <t xml:space="preserve">68 Workday employers live (120 in unpushed registry).</t>
  </si>
  <si>
    <t xml:space="preserve">Cover letter transparency</t>
  </si>
  <si>
    <t xml:space="preserve">Standard generator.</t>
  </si>
  <si>
    <t xml:space="preserve">Shows which resume facts were used and which numbers you must fill in.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</si>
</sst>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9"/>
      <color rgb="FF2563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BBF7D0"/>
        </patternFill>
      </fill>
    </dxf>
    <dxf>
      <fill>
        <patternFill>
          <bgColor rgb="FFBFDB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ECACA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umax.ai/" TargetMode="External"/><Relationship Id="rId2" Type="http://schemas.openxmlformats.org/officeDocument/2006/relationships/hyperlink" Target="https://resumax.ai/pricing" TargetMode="External"/><Relationship Id="rId3" Type="http://schemas.openxmlformats.org/officeDocument/2006/relationships/hyperlink" Target="https://resumax.ai/career-market" TargetMode="External"/><Relationship Id="rId4" Type="http://schemas.openxmlformats.org/officeDocument/2006/relationships/hyperlink" Target="https://resumax.ai/resume-score" TargetMode="External"/><Relationship Id="rId5" Type="http://schemas.openxmlformats.org/officeDocument/2006/relationships/hyperlink" Target="https://resumax.ai/roadmaps" TargetMode="External"/><Relationship Id="rId6" Type="http://schemas.openxmlformats.org/officeDocument/2006/relationships/hyperlink" Target="https://resumax.ai/projects" TargetMode="External"/><Relationship Id="rId7" Type="http://schemas.openxmlformats.org/officeDocument/2006/relationships/hyperlink" Target="https://resumax.ai/guides" TargetMode="External"/><Relationship Id="rId8" Type="http://schemas.openxmlformats.org/officeDocument/2006/relationships/hyperlink" Target="https://resumax.ai/mcp" TargetMode="External"/><Relationship Id="rId9" Type="http://schemas.openxmlformats.org/officeDocument/2006/relationships/hyperlink" Target="https://resumax.ai/about" TargetMode="External"/><Relationship Id="rId10" Type="http://schemas.openxmlformats.org/officeDocument/2006/relationships/hyperlink" Target="https://resumax.ai/compare" TargetMode="External"/><Relationship Id="rId11" Type="http://schemas.openxmlformats.org/officeDocument/2006/relationships/hyperlink" Target="https://resumax.ai/sitemap.x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45" hidden="false" customHeight="true" outlineLevel="0" collapsed="false">
      <c r="A5" s="3" t="s">
        <v>4</v>
      </c>
      <c r="B5" s="4" t="s">
        <v>5</v>
      </c>
    </row>
    <row r="6" customFormat="false" ht="45" hidden="false" customHeight="true" outlineLevel="0" collapsed="false">
      <c r="A6" s="3" t="s">
        <v>6</v>
      </c>
      <c r="B6" s="4" t="s">
        <v>7</v>
      </c>
    </row>
    <row r="7" customFormat="false" ht="45" hidden="false" customHeight="true" outlineLevel="0" collapsed="false">
      <c r="A7" s="3" t="s">
        <v>8</v>
      </c>
      <c r="B7" s="4" t="s">
        <v>9</v>
      </c>
    </row>
    <row r="8" customFormat="false" ht="45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7" t="n">
        <f aca="false">COUNTA('Feature Comparison'!B2:B35)</f>
        <v>34</v>
      </c>
    </row>
    <row r="13" customFormat="false" ht="15" hidden="false" customHeight="false" outlineLevel="0" collapsed="false">
      <c r="A13" s="6" t="s">
        <v>16</v>
      </c>
      <c r="B13" s="7" t="n">
        <f aca="false">COUNTIF('Feature Comparison'!E2:E35,"Missing")</f>
        <v>17</v>
      </c>
    </row>
    <row r="14" customFormat="false" ht="15" hidden="false" customHeight="false" outlineLevel="0" collapsed="false">
      <c r="A14" s="6" t="s">
        <v>17</v>
      </c>
      <c r="B14" s="7" t="n">
        <f aca="false">COUNTIF('Feature Comparison'!E2:E35,"Partial")</f>
        <v>7</v>
      </c>
    </row>
    <row r="15" customFormat="false" ht="15" hidden="false" customHeight="false" outlineLevel="0" collapsed="false">
      <c r="A15" s="6" t="s">
        <v>18</v>
      </c>
      <c r="B15" s="7" t="n">
        <f aca="false">COUNTIF('Feature Comparison'!E2:E35,"Even")</f>
        <v>3</v>
      </c>
    </row>
    <row r="16" customFormat="false" ht="15" hidden="false" customHeight="false" outlineLevel="0" collapsed="false">
      <c r="A16" s="6" t="s">
        <v>19</v>
      </c>
      <c r="B16" s="7" t="n">
        <f aca="false">COUNTIF('Feature Comparison'!E2:E35,"We lead")</f>
        <v>7</v>
      </c>
    </row>
    <row r="17" customFormat="false" ht="15" hidden="false" customHeight="false" outlineLevel="0" collapsed="false">
      <c r="A17" s="6" t="s">
        <v>20</v>
      </c>
      <c r="B17" s="7" t="n">
        <f aca="false">COUNTA('What To Improve'!B2:B21)</f>
        <v>20</v>
      </c>
    </row>
    <row r="18" customFormat="false" ht="15" hidden="false" customHeight="false" outlineLevel="0" collapsed="false">
      <c r="A18" s="6" t="s">
        <v>21</v>
      </c>
      <c r="B18" s="7" t="n">
        <f aca="false">COUNTIF('What To Improve'!D2:D21,"High")</f>
        <v>5</v>
      </c>
    </row>
    <row r="19" customFormat="false" ht="15" hidden="false" customHeight="false" outlineLevel="0" collapsed="false">
      <c r="A19" s="6" t="s">
        <v>22</v>
      </c>
      <c r="B19" s="7" t="n">
        <f aca="false">COUNTIF('What To Improve'!H2:H21,"Yes")</f>
        <v>0</v>
      </c>
    </row>
    <row r="21" customFormat="false" ht="15" hidden="false" customHeight="false" outlineLevel="0" collapsed="false">
      <c r="A21" s="5" t="s">
        <v>23</v>
      </c>
    </row>
    <row r="22" customFormat="false" ht="15" hidden="false" customHeight="false" outlineLevel="0" collapsed="false">
      <c r="A22" s="2" t="s">
        <v>24</v>
      </c>
    </row>
    <row r="23" customFormat="false" ht="15" hidden="false" customHeight="false" outlineLevel="0" collapsed="false">
      <c r="A23" s="2" t="s">
        <v>25</v>
      </c>
    </row>
    <row r="24" customFormat="false" ht="15" hidden="false" customHeight="false" outlineLevel="0" collapsed="false">
      <c r="A24" s="2" t="s">
        <v>26</v>
      </c>
    </row>
    <row r="25" customFormat="false" ht="15" hidden="false" customHeight="false" outlineLevel="0" collapsed="false">
      <c r="A25" s="2" t="s">
        <v>27</v>
      </c>
    </row>
    <row r="27" customFormat="false" ht="15" hidden="false" customHeight="false" outlineLevel="0" collapsed="false">
      <c r="A27" s="5" t="s">
        <v>28</v>
      </c>
    </row>
    <row r="28" customFormat="false" ht="15" hidden="false" customHeight="false" outlineLevel="0" collapsed="false">
      <c r="A28" s="8" t="s">
        <v>29</v>
      </c>
    </row>
    <row r="29" customFormat="false" ht="15" hidden="false" customHeight="false" outlineLevel="0" collapsed="false">
      <c r="A29" s="8" t="s">
        <v>30</v>
      </c>
    </row>
    <row r="30" customFormat="false" ht="15" hidden="false" customHeight="false" outlineLevel="0" collapsed="false">
      <c r="A30" s="8" t="s">
        <v>31</v>
      </c>
    </row>
    <row r="31" customFormat="false" ht="15" hidden="false" customHeight="false" outlineLevel="0" collapsed="false">
      <c r="A31" s="8" t="s">
        <v>32</v>
      </c>
    </row>
    <row r="32" customFormat="false" ht="15" hidden="false" customHeight="false" outlineLevel="0" collapsed="false">
      <c r="A32" s="8" t="s">
        <v>33</v>
      </c>
    </row>
    <row r="33" customFormat="false" ht="15" hidden="false" customHeight="false" outlineLevel="0" collapsed="false">
      <c r="A33" s="8" t="s">
        <v>34</v>
      </c>
    </row>
    <row r="34" customFormat="false" ht="15" hidden="false" customHeight="false" outlineLevel="0" collapsed="false">
      <c r="A34" s="8" t="s">
        <v>35</v>
      </c>
    </row>
    <row r="35" customFormat="false" ht="15" hidden="false" customHeight="false" outlineLevel="0" collapsed="false">
      <c r="A35" s="8" t="s">
        <v>36</v>
      </c>
    </row>
    <row r="36" customFormat="false" ht="15" hidden="false" customHeight="false" outlineLevel="0" collapsed="false">
      <c r="A36" s="8" t="s">
        <v>37</v>
      </c>
    </row>
    <row r="37" customFormat="false" ht="15" hidden="false" customHeight="false" outlineLevel="0" collapsed="false">
      <c r="A37" s="8" t="s">
        <v>38</v>
      </c>
    </row>
    <row r="38" customFormat="false" ht="15" hidden="false" customHeight="false" outlineLevel="0" collapsed="false">
      <c r="A38" s="8" t="s">
        <v>39</v>
      </c>
    </row>
  </sheetData>
  <hyperlinks>
    <hyperlink ref="A28" r:id="rId1" display="https://resumax.ai/"/>
    <hyperlink ref="A29" r:id="rId2" display="https://resumax.ai/pricing"/>
    <hyperlink ref="A30" r:id="rId3" display="https://resumax.ai/career-market"/>
    <hyperlink ref="A31" r:id="rId4" display="https://resumax.ai/resume-score"/>
    <hyperlink ref="A32" r:id="rId5" display="https://resumax.ai/roadmaps"/>
    <hyperlink ref="A33" r:id="rId6" display="https://resumax.ai/projects"/>
    <hyperlink ref="A34" r:id="rId7" display="https://resumax.ai/guides"/>
    <hyperlink ref="A35" r:id="rId8" display="https://resumax.ai/mcp"/>
    <hyperlink ref="A36" r:id="rId9" display="https://resumax.ai/about"/>
    <hyperlink ref="A37" r:id="rId10" display="https://resumax.ai/compare"/>
    <hyperlink ref="A38" r:id="rId11" display="https://resumax.ai/sitemap.x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48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</row>
    <row r="2" customFormat="false" ht="35.05" hidden="false" customHeight="false" outlineLevel="0" collapsed="false">
      <c r="A2" s="10" t="s">
        <v>46</v>
      </c>
      <c r="B2" s="10" t="s">
        <v>47</v>
      </c>
      <c r="C2" s="10" t="s">
        <v>48</v>
      </c>
      <c r="D2" s="10" t="s">
        <v>49</v>
      </c>
      <c r="E2" s="10" t="s">
        <v>19</v>
      </c>
      <c r="F2" s="10" t="s">
        <v>50</v>
      </c>
    </row>
    <row r="3" customFormat="false" ht="46.25" hidden="false" customHeight="false" outlineLevel="0" collapsed="false">
      <c r="A3" s="10" t="s">
        <v>46</v>
      </c>
      <c r="B3" s="10" t="s">
        <v>51</v>
      </c>
      <c r="C3" s="10" t="s">
        <v>52</v>
      </c>
      <c r="D3" s="10" t="s">
        <v>53</v>
      </c>
      <c r="E3" s="10" t="s">
        <v>18</v>
      </c>
      <c r="F3" s="10" t="s">
        <v>54</v>
      </c>
    </row>
    <row r="4" customFormat="false" ht="35.05" hidden="false" customHeight="false" outlineLevel="0" collapsed="false">
      <c r="A4" s="10" t="s">
        <v>46</v>
      </c>
      <c r="B4" s="10" t="s">
        <v>55</v>
      </c>
      <c r="C4" s="10" t="s">
        <v>56</v>
      </c>
      <c r="D4" s="10" t="s">
        <v>57</v>
      </c>
      <c r="E4" s="10" t="s">
        <v>17</v>
      </c>
      <c r="F4" s="10" t="s">
        <v>58</v>
      </c>
    </row>
    <row r="5" customFormat="false" ht="23.85" hidden="false" customHeight="false" outlineLevel="0" collapsed="false">
      <c r="A5" s="10" t="s">
        <v>46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63</v>
      </c>
    </row>
    <row r="6" customFormat="false" ht="23.85" hidden="false" customHeight="false" outlineLevel="0" collapsed="false">
      <c r="A6" s="10" t="s">
        <v>46</v>
      </c>
      <c r="B6" s="10" t="s">
        <v>64</v>
      </c>
      <c r="C6" s="10" t="s">
        <v>65</v>
      </c>
      <c r="D6" s="10" t="s">
        <v>66</v>
      </c>
      <c r="E6" s="10" t="s">
        <v>62</v>
      </c>
      <c r="F6" s="10" t="s">
        <v>67</v>
      </c>
    </row>
    <row r="7" customFormat="false" ht="35.05" hidden="false" customHeight="false" outlineLevel="0" collapsed="false">
      <c r="A7" s="10" t="s">
        <v>46</v>
      </c>
      <c r="B7" s="10" t="s">
        <v>68</v>
      </c>
      <c r="C7" s="10" t="s">
        <v>69</v>
      </c>
      <c r="D7" s="10" t="s">
        <v>70</v>
      </c>
      <c r="E7" s="10" t="s">
        <v>18</v>
      </c>
      <c r="F7" s="10" t="s">
        <v>71</v>
      </c>
    </row>
    <row r="8" customFormat="false" ht="35.05" hidden="false" customHeight="false" outlineLevel="0" collapsed="false">
      <c r="A8" s="10" t="s">
        <v>46</v>
      </c>
      <c r="B8" s="10" t="s">
        <v>72</v>
      </c>
      <c r="C8" s="10" t="s">
        <v>73</v>
      </c>
      <c r="D8" s="10" t="s">
        <v>74</v>
      </c>
      <c r="E8" s="10" t="s">
        <v>19</v>
      </c>
      <c r="F8" s="10" t="s">
        <v>75</v>
      </c>
    </row>
    <row r="9" customFormat="false" ht="15" hidden="false" customHeight="false" outlineLevel="0" collapsed="false">
      <c r="A9" s="10" t="s">
        <v>46</v>
      </c>
      <c r="B9" s="10" t="s">
        <v>76</v>
      </c>
      <c r="C9" s="10" t="s">
        <v>77</v>
      </c>
      <c r="D9" s="10" t="s">
        <v>78</v>
      </c>
      <c r="E9" s="10" t="s">
        <v>62</v>
      </c>
      <c r="F9" s="10" t="s">
        <v>79</v>
      </c>
    </row>
    <row r="10" customFormat="false" ht="23.85" hidden="false" customHeight="false" outlineLevel="0" collapsed="false">
      <c r="A10" s="10" t="s">
        <v>46</v>
      </c>
      <c r="B10" s="10" t="s">
        <v>80</v>
      </c>
      <c r="C10" s="10" t="s">
        <v>81</v>
      </c>
      <c r="D10" s="10" t="s">
        <v>82</v>
      </c>
      <c r="E10" s="10" t="s">
        <v>62</v>
      </c>
      <c r="F10" s="10" t="s">
        <v>83</v>
      </c>
    </row>
    <row r="11" customFormat="false" ht="23.85" hidden="false" customHeight="false" outlineLevel="0" collapsed="false">
      <c r="A11" s="10" t="s">
        <v>46</v>
      </c>
      <c r="B11" s="10" t="s">
        <v>84</v>
      </c>
      <c r="C11" s="10" t="s">
        <v>85</v>
      </c>
      <c r="D11" s="10" t="s">
        <v>86</v>
      </c>
      <c r="E11" s="10" t="s">
        <v>19</v>
      </c>
      <c r="F11" s="10"/>
    </row>
    <row r="12" customFormat="false" ht="23.85" hidden="false" customHeight="false" outlineLevel="0" collapsed="false">
      <c r="A12" s="10" t="s">
        <v>46</v>
      </c>
      <c r="B12" s="10" t="s">
        <v>87</v>
      </c>
      <c r="C12" s="10" t="s">
        <v>88</v>
      </c>
      <c r="D12" s="10" t="s">
        <v>89</v>
      </c>
      <c r="E12" s="10" t="s">
        <v>17</v>
      </c>
      <c r="F12" s="10" t="s">
        <v>90</v>
      </c>
    </row>
    <row r="13" customFormat="false" ht="23.85" hidden="false" customHeight="false" outlineLevel="0" collapsed="false">
      <c r="A13" s="10" t="s">
        <v>46</v>
      </c>
      <c r="B13" s="10" t="s">
        <v>91</v>
      </c>
      <c r="C13" s="10" t="s">
        <v>92</v>
      </c>
      <c r="D13" s="10" t="s">
        <v>93</v>
      </c>
      <c r="E13" s="10" t="s">
        <v>62</v>
      </c>
      <c r="F13" s="10" t="s">
        <v>94</v>
      </c>
    </row>
    <row r="14" customFormat="false" ht="57.45" hidden="false" customHeight="false" outlineLevel="0" collapsed="false">
      <c r="A14" s="10" t="s">
        <v>95</v>
      </c>
      <c r="B14" s="10" t="s">
        <v>96</v>
      </c>
      <c r="C14" s="10" t="s">
        <v>97</v>
      </c>
      <c r="D14" s="10" t="s">
        <v>98</v>
      </c>
      <c r="E14" s="10" t="s">
        <v>19</v>
      </c>
      <c r="F14" s="10" t="s">
        <v>99</v>
      </c>
    </row>
    <row r="15" customFormat="false" ht="35.05" hidden="false" customHeight="false" outlineLevel="0" collapsed="false">
      <c r="A15" s="10" t="s">
        <v>95</v>
      </c>
      <c r="B15" s="10" t="s">
        <v>100</v>
      </c>
      <c r="C15" s="10" t="s">
        <v>101</v>
      </c>
      <c r="D15" s="10" t="s">
        <v>102</v>
      </c>
      <c r="E15" s="10" t="s">
        <v>17</v>
      </c>
      <c r="F15" s="10" t="s">
        <v>103</v>
      </c>
    </row>
    <row r="16" customFormat="false" ht="23.85" hidden="false" customHeight="false" outlineLevel="0" collapsed="false">
      <c r="A16" s="10" t="s">
        <v>95</v>
      </c>
      <c r="B16" s="10" t="s">
        <v>104</v>
      </c>
      <c r="C16" s="10" t="s">
        <v>105</v>
      </c>
      <c r="D16" s="10" t="s">
        <v>106</v>
      </c>
      <c r="E16" s="10" t="s">
        <v>62</v>
      </c>
      <c r="F16" s="10" t="s">
        <v>107</v>
      </c>
    </row>
    <row r="17" customFormat="false" ht="23.85" hidden="false" customHeight="false" outlineLevel="0" collapsed="false">
      <c r="A17" s="10" t="s">
        <v>95</v>
      </c>
      <c r="B17" s="10" t="s">
        <v>108</v>
      </c>
      <c r="C17" s="10" t="s">
        <v>109</v>
      </c>
      <c r="D17" s="10" t="s">
        <v>110</v>
      </c>
      <c r="E17" s="10" t="s">
        <v>17</v>
      </c>
      <c r="F17" s="10" t="s">
        <v>111</v>
      </c>
    </row>
    <row r="18" customFormat="false" ht="35.05" hidden="false" customHeight="false" outlineLevel="0" collapsed="false">
      <c r="A18" s="10" t="s">
        <v>112</v>
      </c>
      <c r="B18" s="10" t="s">
        <v>113</v>
      </c>
      <c r="C18" s="10" t="s">
        <v>114</v>
      </c>
      <c r="D18" s="10" t="s">
        <v>115</v>
      </c>
      <c r="E18" s="10" t="s">
        <v>17</v>
      </c>
      <c r="F18" s="10" t="s">
        <v>116</v>
      </c>
    </row>
    <row r="19" customFormat="false" ht="15" hidden="false" customHeight="false" outlineLevel="0" collapsed="false">
      <c r="A19" s="10" t="s">
        <v>112</v>
      </c>
      <c r="B19" s="10" t="s">
        <v>117</v>
      </c>
      <c r="C19" s="10" t="s">
        <v>118</v>
      </c>
      <c r="D19" s="10" t="s">
        <v>119</v>
      </c>
      <c r="E19" s="10" t="s">
        <v>19</v>
      </c>
      <c r="F19" s="10" t="s">
        <v>120</v>
      </c>
    </row>
    <row r="20" customFormat="false" ht="23.85" hidden="false" customHeight="false" outlineLevel="0" collapsed="false">
      <c r="A20" s="10" t="s">
        <v>121</v>
      </c>
      <c r="B20" s="10" t="s">
        <v>122</v>
      </c>
      <c r="C20" s="10" t="s">
        <v>123</v>
      </c>
      <c r="D20" s="10" t="s">
        <v>124</v>
      </c>
      <c r="E20" s="10" t="s">
        <v>19</v>
      </c>
      <c r="F20" s="10"/>
    </row>
    <row r="21" customFormat="false" ht="15" hidden="false" customHeight="false" outlineLevel="0" collapsed="false">
      <c r="A21" s="10" t="s">
        <v>121</v>
      </c>
      <c r="B21" s="10" t="s">
        <v>125</v>
      </c>
      <c r="C21" s="10" t="s">
        <v>126</v>
      </c>
      <c r="D21" s="10" t="s">
        <v>127</v>
      </c>
      <c r="E21" s="10" t="s">
        <v>18</v>
      </c>
      <c r="F21" s="10"/>
    </row>
    <row r="22" customFormat="false" ht="23.85" hidden="false" customHeight="false" outlineLevel="0" collapsed="false">
      <c r="A22" s="10" t="s">
        <v>121</v>
      </c>
      <c r="B22" s="10" t="s">
        <v>128</v>
      </c>
      <c r="C22" s="10" t="s">
        <v>129</v>
      </c>
      <c r="D22" s="10" t="s">
        <v>130</v>
      </c>
      <c r="E22" s="10" t="s">
        <v>17</v>
      </c>
      <c r="F22" s="10" t="s">
        <v>131</v>
      </c>
    </row>
    <row r="23" customFormat="false" ht="23.85" hidden="false" customHeight="false" outlineLevel="0" collapsed="false">
      <c r="A23" s="10" t="s">
        <v>121</v>
      </c>
      <c r="B23" s="10" t="s">
        <v>132</v>
      </c>
      <c r="C23" s="10" t="s">
        <v>133</v>
      </c>
      <c r="D23" s="10" t="s">
        <v>134</v>
      </c>
      <c r="E23" s="10" t="s">
        <v>62</v>
      </c>
      <c r="F23" s="10" t="s">
        <v>135</v>
      </c>
    </row>
    <row r="24" customFormat="false" ht="15" hidden="false" customHeight="false" outlineLevel="0" collapsed="false">
      <c r="A24" s="10" t="s">
        <v>121</v>
      </c>
      <c r="B24" s="10" t="s">
        <v>136</v>
      </c>
      <c r="C24" s="10" t="s">
        <v>137</v>
      </c>
      <c r="D24" s="10" t="s">
        <v>93</v>
      </c>
      <c r="E24" s="10" t="s">
        <v>62</v>
      </c>
      <c r="F24" s="10" t="s">
        <v>138</v>
      </c>
    </row>
    <row r="25" customFormat="false" ht="23.85" hidden="false" customHeight="false" outlineLevel="0" collapsed="false">
      <c r="A25" s="10" t="s">
        <v>121</v>
      </c>
      <c r="B25" s="10" t="s">
        <v>139</v>
      </c>
      <c r="C25" s="10" t="s">
        <v>140</v>
      </c>
      <c r="D25" s="10" t="s">
        <v>141</v>
      </c>
      <c r="E25" s="10" t="s">
        <v>62</v>
      </c>
      <c r="F25" s="10"/>
    </row>
    <row r="26" customFormat="false" ht="35.05" hidden="false" customHeight="false" outlineLevel="0" collapsed="false">
      <c r="A26" s="10" t="s">
        <v>121</v>
      </c>
      <c r="B26" s="10" t="s">
        <v>142</v>
      </c>
      <c r="C26" s="10" t="s">
        <v>143</v>
      </c>
      <c r="D26" s="10" t="s">
        <v>144</v>
      </c>
      <c r="E26" s="10" t="s">
        <v>62</v>
      </c>
      <c r="F26" s="10" t="s">
        <v>145</v>
      </c>
    </row>
    <row r="27" customFormat="false" ht="23.85" hidden="false" customHeight="false" outlineLevel="0" collapsed="false">
      <c r="A27" s="10" t="s">
        <v>121</v>
      </c>
      <c r="B27" s="10" t="s">
        <v>146</v>
      </c>
      <c r="C27" s="10" t="s">
        <v>147</v>
      </c>
      <c r="D27" s="10" t="s">
        <v>93</v>
      </c>
      <c r="E27" s="10" t="s">
        <v>62</v>
      </c>
      <c r="F27" s="10"/>
    </row>
    <row r="28" customFormat="false" ht="23.85" hidden="false" customHeight="false" outlineLevel="0" collapsed="false">
      <c r="A28" s="10" t="s">
        <v>121</v>
      </c>
      <c r="B28" s="10" t="s">
        <v>148</v>
      </c>
      <c r="C28" s="10" t="s">
        <v>149</v>
      </c>
      <c r="D28" s="10" t="s">
        <v>150</v>
      </c>
      <c r="E28" s="10" t="s">
        <v>17</v>
      </c>
      <c r="F28" s="10" t="s">
        <v>151</v>
      </c>
    </row>
    <row r="29" customFormat="false" ht="23.85" hidden="false" customHeight="false" outlineLevel="0" collapsed="false">
      <c r="A29" s="10" t="s">
        <v>121</v>
      </c>
      <c r="B29" s="10" t="s">
        <v>152</v>
      </c>
      <c r="C29" s="10" t="s">
        <v>153</v>
      </c>
      <c r="D29" s="10" t="s">
        <v>93</v>
      </c>
      <c r="E29" s="10" t="s">
        <v>62</v>
      </c>
      <c r="F29" s="10" t="s">
        <v>154</v>
      </c>
    </row>
    <row r="30" customFormat="false" ht="35.05" hidden="false" customHeight="false" outlineLevel="0" collapsed="false">
      <c r="A30" s="10" t="s">
        <v>155</v>
      </c>
      <c r="B30" s="10" t="s">
        <v>156</v>
      </c>
      <c r="C30" s="10" t="s">
        <v>157</v>
      </c>
      <c r="D30" s="10" t="s">
        <v>158</v>
      </c>
      <c r="E30" s="10" t="s">
        <v>62</v>
      </c>
      <c r="F30" s="10" t="s">
        <v>159</v>
      </c>
    </row>
    <row r="31" customFormat="false" ht="35.05" hidden="false" customHeight="false" outlineLevel="0" collapsed="false">
      <c r="A31" s="10" t="s">
        <v>155</v>
      </c>
      <c r="B31" s="10" t="s">
        <v>160</v>
      </c>
      <c r="C31" s="10" t="s">
        <v>161</v>
      </c>
      <c r="D31" s="10" t="s">
        <v>93</v>
      </c>
      <c r="E31" s="10" t="s">
        <v>62</v>
      </c>
      <c r="F31" s="10" t="s">
        <v>162</v>
      </c>
    </row>
    <row r="32" customFormat="false" ht="23.85" hidden="false" customHeight="false" outlineLevel="0" collapsed="false">
      <c r="A32" s="10" t="s">
        <v>155</v>
      </c>
      <c r="B32" s="10" t="s">
        <v>163</v>
      </c>
      <c r="C32" s="10" t="s">
        <v>164</v>
      </c>
      <c r="D32" s="10" t="s">
        <v>93</v>
      </c>
      <c r="E32" s="10" t="s">
        <v>62</v>
      </c>
      <c r="F32" s="10"/>
    </row>
    <row r="33" customFormat="false" ht="23.85" hidden="false" customHeight="false" outlineLevel="0" collapsed="false">
      <c r="A33" s="10" t="s">
        <v>155</v>
      </c>
      <c r="B33" s="10" t="s">
        <v>165</v>
      </c>
      <c r="C33" s="10" t="s">
        <v>166</v>
      </c>
      <c r="D33" s="10" t="s">
        <v>93</v>
      </c>
      <c r="E33" s="10" t="s">
        <v>62</v>
      </c>
      <c r="F33" s="10" t="s">
        <v>167</v>
      </c>
    </row>
    <row r="34" customFormat="false" ht="23.85" hidden="false" customHeight="false" outlineLevel="0" collapsed="false">
      <c r="A34" s="10" t="s">
        <v>155</v>
      </c>
      <c r="B34" s="10" t="s">
        <v>168</v>
      </c>
      <c r="C34" s="10" t="s">
        <v>169</v>
      </c>
      <c r="D34" s="10" t="s">
        <v>170</v>
      </c>
      <c r="E34" s="10" t="s">
        <v>62</v>
      </c>
      <c r="F34" s="10" t="s">
        <v>171</v>
      </c>
    </row>
    <row r="35" customFormat="false" ht="23.85" hidden="false" customHeight="false" outlineLevel="0" collapsed="false">
      <c r="A35" s="10" t="s">
        <v>172</v>
      </c>
      <c r="B35" s="10" t="s">
        <v>173</v>
      </c>
      <c r="C35" s="10" t="s">
        <v>174</v>
      </c>
      <c r="D35" s="10" t="s">
        <v>175</v>
      </c>
      <c r="E35" s="10" t="s">
        <v>19</v>
      </c>
      <c r="F35" s="10" t="s">
        <v>176</v>
      </c>
    </row>
  </sheetData>
  <autoFilter ref="A1:F35"/>
  <conditionalFormatting sqref="E2:E35">
    <cfRule type="expression" priority="2" aboveAverage="0" equalAverage="0" bottom="0" percent="0" rank="0" text="" dxfId="7">
      <formula>$E2="Missing"</formula>
    </cfRule>
    <cfRule type="expression" priority="3" aboveAverage="0" equalAverage="0" bottom="0" percent="0" rank="0" text="" dxfId="8">
      <formula>$E2="Partial"</formula>
    </cfRule>
    <cfRule type="expression" priority="4" aboveAverage="0" equalAverage="0" bottom="0" percent="0" rank="0" text="" dxfId="9">
      <formula>$E2="Even"</formula>
    </cfRule>
    <cfRule type="expression" priority="5" aboveAverage="0" equalAverage="0" bottom="0" percent="0" rank="0" text="" dxfId="10">
      <formula>$E2="We lead"</formula>
    </cfRule>
  </conditionalFormatting>
  <dataValidations count="1">
    <dataValidation allowBlank="true" errorStyle="stop" operator="between" showDropDown="false" showErrorMessage="false" showInputMessage="false" sqref="E2:E35" type="list">
      <formula1>"Missing,Partial,Even,We lead"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8" min="8" style="0" width="9"/>
  </cols>
  <sheetData>
    <row r="1" customFormat="false" ht="23.85" hidden="false" customHeight="false" outlineLevel="0" collapsed="false">
      <c r="A1" s="9" t="s">
        <v>177</v>
      </c>
      <c r="B1" s="9" t="s">
        <v>178</v>
      </c>
      <c r="C1" s="9" t="s">
        <v>179</v>
      </c>
      <c r="D1" s="9" t="s">
        <v>180</v>
      </c>
      <c r="E1" s="9" t="s">
        <v>181</v>
      </c>
      <c r="F1" s="9" t="s">
        <v>182</v>
      </c>
      <c r="G1" s="9" t="s">
        <v>183</v>
      </c>
      <c r="H1" s="9" t="s">
        <v>184</v>
      </c>
    </row>
    <row r="2" customFormat="false" ht="23.85" hidden="false" customHeight="false" outlineLevel="0" collapsed="false">
      <c r="A2" s="10" t="n">
        <v>1</v>
      </c>
      <c r="B2" s="10" t="s">
        <v>185</v>
      </c>
      <c r="C2" s="10" t="s">
        <v>186</v>
      </c>
      <c r="D2" s="10" t="s">
        <v>187</v>
      </c>
      <c r="E2" s="10" t="s">
        <v>188</v>
      </c>
      <c r="F2" s="10" t="s">
        <v>189</v>
      </c>
      <c r="G2" s="10" t="s">
        <v>190</v>
      </c>
      <c r="H2" s="10" t="s">
        <v>191</v>
      </c>
    </row>
    <row r="3" customFormat="false" ht="35.05" hidden="false" customHeight="false" outlineLevel="0" collapsed="false">
      <c r="A3" s="10" t="n">
        <v>2</v>
      </c>
      <c r="B3" s="10" t="s">
        <v>192</v>
      </c>
      <c r="C3" s="10" t="s">
        <v>193</v>
      </c>
      <c r="D3" s="10" t="s">
        <v>187</v>
      </c>
      <c r="E3" s="10" t="s">
        <v>188</v>
      </c>
      <c r="F3" s="10" t="s">
        <v>189</v>
      </c>
      <c r="G3" s="10" t="s">
        <v>194</v>
      </c>
      <c r="H3" s="10" t="s">
        <v>191</v>
      </c>
    </row>
    <row r="4" customFormat="false" ht="23.85" hidden="false" customHeight="false" outlineLevel="0" collapsed="false">
      <c r="A4" s="10" t="n">
        <v>3</v>
      </c>
      <c r="B4" s="10" t="s">
        <v>195</v>
      </c>
      <c r="C4" s="10" t="s">
        <v>196</v>
      </c>
      <c r="D4" s="10" t="s">
        <v>187</v>
      </c>
      <c r="E4" s="10" t="s">
        <v>197</v>
      </c>
      <c r="F4" s="10" t="s">
        <v>189</v>
      </c>
      <c r="G4" s="10" t="s">
        <v>198</v>
      </c>
      <c r="H4" s="10" t="s">
        <v>191</v>
      </c>
    </row>
    <row r="5" customFormat="false" ht="35.05" hidden="false" customHeight="false" outlineLevel="0" collapsed="false">
      <c r="A5" s="10" t="n">
        <v>4</v>
      </c>
      <c r="B5" s="10" t="s">
        <v>132</v>
      </c>
      <c r="C5" s="10" t="s">
        <v>199</v>
      </c>
      <c r="D5" s="10" t="s">
        <v>187</v>
      </c>
      <c r="E5" s="10" t="s">
        <v>188</v>
      </c>
      <c r="F5" s="10" t="s">
        <v>200</v>
      </c>
      <c r="G5" s="10" t="s">
        <v>201</v>
      </c>
      <c r="H5" s="10" t="s">
        <v>191</v>
      </c>
    </row>
    <row r="6" customFormat="false" ht="23.85" hidden="false" customHeight="false" outlineLevel="0" collapsed="false">
      <c r="A6" s="10" t="n">
        <v>5</v>
      </c>
      <c r="B6" s="10" t="s">
        <v>202</v>
      </c>
      <c r="C6" s="10" t="s">
        <v>203</v>
      </c>
      <c r="D6" s="10" t="s">
        <v>187</v>
      </c>
      <c r="E6" s="10" t="s">
        <v>197</v>
      </c>
      <c r="F6" s="10" t="s">
        <v>189</v>
      </c>
      <c r="G6" s="10" t="s">
        <v>204</v>
      </c>
      <c r="H6" s="10" t="s">
        <v>191</v>
      </c>
    </row>
    <row r="7" customFormat="false" ht="23.85" hidden="false" customHeight="false" outlineLevel="0" collapsed="false">
      <c r="A7" s="10" t="n">
        <v>6</v>
      </c>
      <c r="B7" s="10" t="s">
        <v>205</v>
      </c>
      <c r="C7" s="10" t="s">
        <v>206</v>
      </c>
      <c r="D7" s="10" t="s">
        <v>188</v>
      </c>
      <c r="E7" s="10" t="s">
        <v>197</v>
      </c>
      <c r="F7" s="10" t="s">
        <v>189</v>
      </c>
      <c r="G7" s="10" t="s">
        <v>207</v>
      </c>
      <c r="H7" s="10" t="s">
        <v>191</v>
      </c>
    </row>
    <row r="8" customFormat="false" ht="23.85" hidden="false" customHeight="false" outlineLevel="0" collapsed="false">
      <c r="A8" s="10" t="n">
        <v>7</v>
      </c>
      <c r="B8" s="10" t="s">
        <v>208</v>
      </c>
      <c r="C8" s="10" t="s">
        <v>209</v>
      </c>
      <c r="D8" s="10" t="s">
        <v>188</v>
      </c>
      <c r="E8" s="10" t="s">
        <v>197</v>
      </c>
      <c r="F8" s="10" t="s">
        <v>189</v>
      </c>
      <c r="G8" s="10" t="s">
        <v>210</v>
      </c>
      <c r="H8" s="10" t="s">
        <v>191</v>
      </c>
    </row>
    <row r="9" customFormat="false" ht="23.85" hidden="false" customHeight="false" outlineLevel="0" collapsed="false">
      <c r="A9" s="10" t="n">
        <v>8</v>
      </c>
      <c r="B9" s="10" t="s">
        <v>211</v>
      </c>
      <c r="C9" s="10" t="s">
        <v>212</v>
      </c>
      <c r="D9" s="10" t="s">
        <v>188</v>
      </c>
      <c r="E9" s="10" t="s">
        <v>197</v>
      </c>
      <c r="F9" s="10" t="s">
        <v>189</v>
      </c>
      <c r="G9" s="10" t="s">
        <v>213</v>
      </c>
      <c r="H9" s="10" t="s">
        <v>191</v>
      </c>
    </row>
    <row r="10" customFormat="false" ht="23.85" hidden="false" customHeight="false" outlineLevel="0" collapsed="false">
      <c r="A10" s="10" t="n">
        <v>9</v>
      </c>
      <c r="B10" s="10" t="s">
        <v>214</v>
      </c>
      <c r="C10" s="10" t="s">
        <v>215</v>
      </c>
      <c r="D10" s="10" t="s">
        <v>188</v>
      </c>
      <c r="E10" s="10" t="s">
        <v>197</v>
      </c>
      <c r="F10" s="10" t="s">
        <v>189</v>
      </c>
      <c r="G10" s="10" t="s">
        <v>216</v>
      </c>
      <c r="H10" s="10" t="s">
        <v>191</v>
      </c>
    </row>
    <row r="11" customFormat="false" ht="23.85" hidden="false" customHeight="false" outlineLevel="0" collapsed="false">
      <c r="A11" s="10" t="n">
        <v>10</v>
      </c>
      <c r="B11" s="10" t="s">
        <v>217</v>
      </c>
      <c r="C11" s="10" t="s">
        <v>218</v>
      </c>
      <c r="D11" s="10" t="s">
        <v>188</v>
      </c>
      <c r="E11" s="10" t="s">
        <v>188</v>
      </c>
      <c r="F11" s="10" t="s">
        <v>189</v>
      </c>
      <c r="G11" s="10" t="s">
        <v>219</v>
      </c>
      <c r="H11" s="10" t="s">
        <v>191</v>
      </c>
    </row>
    <row r="12" customFormat="false" ht="35.05" hidden="false" customHeight="false" outlineLevel="0" collapsed="false">
      <c r="A12" s="10" t="n">
        <v>11</v>
      </c>
      <c r="B12" s="10" t="s">
        <v>220</v>
      </c>
      <c r="C12" s="10" t="s">
        <v>221</v>
      </c>
      <c r="D12" s="10" t="s">
        <v>188</v>
      </c>
      <c r="E12" s="10" t="s">
        <v>188</v>
      </c>
      <c r="F12" s="10" t="s">
        <v>189</v>
      </c>
      <c r="G12" s="10" t="s">
        <v>222</v>
      </c>
      <c r="H12" s="10" t="s">
        <v>191</v>
      </c>
    </row>
    <row r="13" customFormat="false" ht="23.85" hidden="false" customHeight="false" outlineLevel="0" collapsed="false">
      <c r="A13" s="10" t="n">
        <v>12</v>
      </c>
      <c r="B13" s="10" t="s">
        <v>223</v>
      </c>
      <c r="C13" s="10" t="s">
        <v>224</v>
      </c>
      <c r="D13" s="10" t="s">
        <v>188</v>
      </c>
      <c r="E13" s="10" t="s">
        <v>188</v>
      </c>
      <c r="F13" s="10" t="s">
        <v>189</v>
      </c>
      <c r="G13" s="10" t="s">
        <v>225</v>
      </c>
      <c r="H13" s="10" t="s">
        <v>191</v>
      </c>
    </row>
    <row r="14" customFormat="false" ht="23.85" hidden="false" customHeight="false" outlineLevel="0" collapsed="false">
      <c r="A14" s="10" t="n">
        <v>13</v>
      </c>
      <c r="B14" s="10" t="s">
        <v>226</v>
      </c>
      <c r="C14" s="10" t="s">
        <v>227</v>
      </c>
      <c r="D14" s="10" t="s">
        <v>188</v>
      </c>
      <c r="E14" s="10" t="s">
        <v>188</v>
      </c>
      <c r="F14" s="10" t="s">
        <v>189</v>
      </c>
      <c r="G14" s="10" t="s">
        <v>228</v>
      </c>
      <c r="H14" s="10" t="s">
        <v>191</v>
      </c>
    </row>
    <row r="15" customFormat="false" ht="23.85" hidden="false" customHeight="false" outlineLevel="0" collapsed="false">
      <c r="A15" s="10" t="n">
        <v>14</v>
      </c>
      <c r="B15" s="10" t="s">
        <v>229</v>
      </c>
      <c r="C15" s="10" t="s">
        <v>230</v>
      </c>
      <c r="D15" s="10" t="s">
        <v>188</v>
      </c>
      <c r="E15" s="10" t="s">
        <v>197</v>
      </c>
      <c r="F15" s="10" t="s">
        <v>189</v>
      </c>
      <c r="G15" s="10" t="s">
        <v>231</v>
      </c>
      <c r="H15" s="10" t="s">
        <v>191</v>
      </c>
    </row>
    <row r="16" customFormat="false" ht="23.85" hidden="false" customHeight="false" outlineLevel="0" collapsed="false">
      <c r="A16" s="10" t="n">
        <v>15</v>
      </c>
      <c r="B16" s="10" t="s">
        <v>232</v>
      </c>
      <c r="C16" s="10" t="s">
        <v>233</v>
      </c>
      <c r="D16" s="10" t="s">
        <v>197</v>
      </c>
      <c r="E16" s="10" t="s">
        <v>188</v>
      </c>
      <c r="F16" s="10" t="s">
        <v>189</v>
      </c>
      <c r="G16" s="10" t="s">
        <v>234</v>
      </c>
      <c r="H16" s="10" t="s">
        <v>191</v>
      </c>
    </row>
    <row r="17" customFormat="false" ht="23.85" hidden="false" customHeight="false" outlineLevel="0" collapsed="false">
      <c r="A17" s="10" t="n">
        <v>16</v>
      </c>
      <c r="B17" s="10" t="s">
        <v>235</v>
      </c>
      <c r="C17" s="10" t="s">
        <v>236</v>
      </c>
      <c r="D17" s="10" t="s">
        <v>197</v>
      </c>
      <c r="E17" s="10" t="s">
        <v>187</v>
      </c>
      <c r="F17" s="10" t="s">
        <v>237</v>
      </c>
      <c r="G17" s="10" t="s">
        <v>238</v>
      </c>
      <c r="H17" s="10" t="s">
        <v>191</v>
      </c>
    </row>
    <row r="18" customFormat="false" ht="15" hidden="false" customHeight="false" outlineLevel="0" collapsed="false">
      <c r="A18" s="10" t="n">
        <v>17</v>
      </c>
      <c r="B18" s="10" t="s">
        <v>239</v>
      </c>
      <c r="C18" s="10" t="s">
        <v>240</v>
      </c>
      <c r="D18" s="10" t="s">
        <v>197</v>
      </c>
      <c r="E18" s="10" t="s">
        <v>188</v>
      </c>
      <c r="F18" s="10" t="s">
        <v>189</v>
      </c>
      <c r="G18" s="10" t="s">
        <v>241</v>
      </c>
      <c r="H18" s="10" t="s">
        <v>191</v>
      </c>
    </row>
    <row r="19" customFormat="false" ht="15" hidden="false" customHeight="false" outlineLevel="0" collapsed="false">
      <c r="A19" s="10" t="n">
        <v>18</v>
      </c>
      <c r="B19" s="10" t="s">
        <v>242</v>
      </c>
      <c r="C19" s="10" t="s">
        <v>243</v>
      </c>
      <c r="D19" s="10" t="s">
        <v>197</v>
      </c>
      <c r="E19" s="10" t="s">
        <v>187</v>
      </c>
      <c r="F19" s="10" t="s">
        <v>189</v>
      </c>
      <c r="G19" s="10" t="s">
        <v>244</v>
      </c>
      <c r="H19" s="10" t="s">
        <v>191</v>
      </c>
    </row>
    <row r="20" customFormat="false" ht="23.85" hidden="false" customHeight="false" outlineLevel="0" collapsed="false">
      <c r="A20" s="10" t="n">
        <v>19</v>
      </c>
      <c r="B20" s="10" t="s">
        <v>245</v>
      </c>
      <c r="C20" s="10" t="s">
        <v>246</v>
      </c>
      <c r="D20" s="10" t="s">
        <v>197</v>
      </c>
      <c r="E20" s="10" t="s">
        <v>187</v>
      </c>
      <c r="F20" s="10" t="s">
        <v>189</v>
      </c>
      <c r="G20" s="10" t="s">
        <v>247</v>
      </c>
      <c r="H20" s="10" t="s">
        <v>191</v>
      </c>
    </row>
    <row r="21" customFormat="false" ht="15" hidden="false" customHeight="false" outlineLevel="0" collapsed="false">
      <c r="A21" s="10" t="n">
        <v>20</v>
      </c>
      <c r="B21" s="10" t="s">
        <v>136</v>
      </c>
      <c r="C21" s="10" t="s">
        <v>248</v>
      </c>
      <c r="D21" s="10" t="s">
        <v>197</v>
      </c>
      <c r="E21" s="10" t="s">
        <v>187</v>
      </c>
      <c r="F21" s="10" t="s">
        <v>189</v>
      </c>
      <c r="G21" s="10" t="s">
        <v>249</v>
      </c>
      <c r="H21" s="10" t="s">
        <v>191</v>
      </c>
    </row>
    <row r="23" customFormat="false" ht="15" hidden="false" customHeight="false" outlineLevel="0" collapsed="false">
      <c r="B23" s="11" t="s">
        <v>250</v>
      </c>
    </row>
  </sheetData>
  <autoFilter ref="A1:H21"/>
  <conditionalFormatting sqref="D2:D21">
    <cfRule type="expression" priority="2" aboveAverage="0" equalAverage="0" bottom="0" percent="0" rank="0" text="" dxfId="7">
      <formula>$D2="High"</formula>
    </cfRule>
    <cfRule type="expression" priority="3" aboveAverage="0" equalAverage="0" bottom="0" percent="0" rank="0" text="" dxfId="8">
      <formula>$D2="Medium"</formula>
    </cfRule>
    <cfRule type="expression" priority="4" aboveAverage="0" equalAverage="0" bottom="0" percent="0" rank="0" text="" dxfId="9">
      <formula>$D2="Low"</formula>
    </cfRule>
  </conditionalFormatting>
  <conditionalFormatting sqref="H2:H21">
    <cfRule type="expression" priority="5" aboveAverage="0" equalAverage="0" bottom="0" percent="0" rank="0" text="" dxfId="10">
      <formula>$H2="Yes"</formula>
    </cfRule>
    <cfRule type="expression" priority="6" aboveAverage="0" equalAverage="0" bottom="0" percent="0" rank="0" text="" dxfId="11">
      <formula>$H2="In progress"</formula>
    </cfRule>
  </conditionalFormatting>
  <dataValidations count="1">
    <dataValidation allowBlank="true" errorStyle="stop" operator="between" showDropDown="false" showErrorMessage="false" showInputMessage="false" sqref="H2:H21" type="list">
      <formula1>"Yes,No,In progress"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9" t="s">
        <v>251</v>
      </c>
      <c r="B1" s="9" t="s">
        <v>252</v>
      </c>
      <c r="C1" s="9" t="s">
        <v>253</v>
      </c>
    </row>
    <row r="2" customFormat="false" ht="15" hidden="false" customHeight="false" outlineLevel="0" collapsed="false">
      <c r="A2" s="10" t="s">
        <v>254</v>
      </c>
      <c r="B2" s="10" t="s">
        <v>255</v>
      </c>
      <c r="C2" s="10" t="s">
        <v>256</v>
      </c>
    </row>
    <row r="3" customFormat="false" ht="23.85" hidden="false" customHeight="false" outlineLevel="0" collapsed="false">
      <c r="A3" s="10" t="s">
        <v>257</v>
      </c>
      <c r="B3" s="10" t="s">
        <v>258</v>
      </c>
      <c r="C3" s="10" t="s">
        <v>259</v>
      </c>
    </row>
    <row r="4" customFormat="false" ht="23.85" hidden="false" customHeight="false" outlineLevel="0" collapsed="false">
      <c r="A4" s="10" t="s">
        <v>260</v>
      </c>
      <c r="B4" s="10" t="s">
        <v>261</v>
      </c>
      <c r="C4" s="10" t="s">
        <v>262</v>
      </c>
    </row>
    <row r="5" customFormat="false" ht="15" hidden="false" customHeight="false" outlineLevel="0" collapsed="false">
      <c r="A5" s="10" t="s">
        <v>263</v>
      </c>
      <c r="B5" s="10" t="s">
        <v>264</v>
      </c>
      <c r="C5" s="10" t="s">
        <v>265</v>
      </c>
    </row>
    <row r="6" customFormat="false" ht="23.85" hidden="false" customHeight="false" outlineLevel="0" collapsed="false">
      <c r="A6" s="10" t="s">
        <v>266</v>
      </c>
      <c r="B6" s="10" t="s">
        <v>267</v>
      </c>
      <c r="C6" s="10" t="s">
        <v>268</v>
      </c>
    </row>
    <row r="7" customFormat="false" ht="15" hidden="false" customHeight="false" outlineLevel="0" collapsed="false">
      <c r="A7" s="10" t="s">
        <v>269</v>
      </c>
      <c r="B7" s="10" t="s">
        <v>270</v>
      </c>
      <c r="C7" s="10" t="s">
        <v>271</v>
      </c>
    </row>
    <row r="8" customFormat="false" ht="23.85" hidden="false" customHeight="false" outlineLevel="0" collapsed="false">
      <c r="A8" s="10" t="s">
        <v>272</v>
      </c>
      <c r="B8" s="10" t="s">
        <v>273</v>
      </c>
      <c r="C8" s="10" t="s">
        <v>274</v>
      </c>
    </row>
    <row r="9" customFormat="false" ht="15" hidden="false" customHeight="false" outlineLevel="0" collapsed="false">
      <c r="A9" s="10" t="s">
        <v>275</v>
      </c>
      <c r="B9" s="10" t="s">
        <v>276</v>
      </c>
      <c r="C9" s="10" t="s">
        <v>277</v>
      </c>
    </row>
    <row r="10" customFormat="false" ht="23.85" hidden="false" customHeight="false" outlineLevel="0" collapsed="false">
      <c r="A10" s="10" t="s">
        <v>278</v>
      </c>
      <c r="B10" s="10" t="s">
        <v>279</v>
      </c>
      <c r="C10" s="1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2026-09-13T13:05:06Z</dcterms:created>
  <dc:creator>openpyxl</dc:creator>
  <dc:description/>
  <dc:language>en-IN</dc:language>
  <cp:lastModifiedBy/>
  <dcterms:modified xsi:type="dcterms:W3CDTF">2026-09-13T13:05:07Z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